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s" sheetId="1" state="visible" r:id="rId1"/>
    <sheet xmlns:r="http://schemas.openxmlformats.org/officeDocument/2006/relationships" name="Stats" sheetId="2" state="visible" r:id="rId2"/>
    <sheet xmlns:r="http://schemas.openxmlformats.org/officeDocument/2006/relationships" name="Optimiz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14">
    <font>
      <name val="Calibri"/>
      <family val="2"/>
      <color theme="1"/>
      <sz val="11"/>
      <scheme val="minor"/>
    </font>
    <font>
      <b val="1"/>
      <color rgb="00FFFFFF"/>
    </font>
    <font>
      <i val="1"/>
      <color rgb="00FFFFFF"/>
      <sz val="9"/>
    </font>
    <font>
      <color rgb="00000000"/>
    </font>
    <font>
      <i val="1"/>
      <color rgb="00595959"/>
      <sz val="9"/>
    </font>
    <font>
      <b val="1"/>
    </font>
    <font>
      <color rgb="00595959"/>
    </font>
    <font>
      <color rgb="00595959"/>
      <sz val="9"/>
    </font>
    <font>
      <b val="1"/>
      <color rgb="00C00000"/>
    </font>
    <font>
      <b val="1"/>
      <color rgb="001F4E79"/>
    </font>
    <font>
      <b val="1"/>
      <color rgb="002E75B6"/>
    </font>
    <font>
      <sz val="9"/>
    </font>
    <font>
      <b val="1"/>
      <color rgb="00C00000"/>
      <sz val="9"/>
    </font>
    <font>
      <b val="1"/>
      <i val="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9F9F9"/>
      </patternFill>
    </fill>
    <fill>
      <patternFill patternType="solid">
        <fgColor rgb="00C00000"/>
      </patternFill>
    </fill>
  </fills>
  <borders count="7">
    <border>
      <left/>
      <right/>
      <top/>
      <bottom/>
      <diagonal/>
    </border>
    <border>
      <left/>
      <right/>
      <top/>
      <bottom style="thin"/>
    </border>
    <border>
      <left style="thin"/>
      <right style="thin"/>
      <top style="thin"/>
      <bottom style="thin"/>
    </border>
    <border>
      <left style="thin"/>
      <right/>
      <top style="thin"/>
      <bottom/>
    </border>
    <border>
      <left style="thin"/>
      <right/>
      <top/>
      <bottom/>
    </border>
    <border>
      <left style="thin"/>
      <right style="thin"/>
      <top/>
      <bottom style="thin"/>
    </border>
    <border>
      <left style="thin"/>
      <right/>
      <top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right" vertical="center"/>
    </xf>
    <xf numFmtId="0" fontId="7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0" fillId="3" borderId="0" pivotButton="0" quotePrefix="0" xfId="0"/>
    <xf numFmtId="0" fontId="9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 wrapText="1"/>
    </xf>
    <xf numFmtId="2" fontId="9" fillId="7" borderId="2" applyAlignment="1" pivotButton="0" quotePrefix="0" xfId="0">
      <alignment horizontal="center" vertical="center"/>
    </xf>
    <xf numFmtId="2" fontId="5" fillId="8" borderId="2" applyAlignment="1" pivotButton="0" quotePrefix="0" xfId="0">
      <alignment horizontal="center" vertical="center"/>
    </xf>
    <xf numFmtId="0" fontId="5" fillId="9" borderId="3" applyAlignment="1" pivotButton="0" quotePrefix="0" xfId="0">
      <alignment horizontal="left" vertical="center"/>
    </xf>
    <xf numFmtId="164" fontId="5" fillId="8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5" fillId="9" borderId="4" applyAlignment="1" pivotButton="0" quotePrefix="0" xfId="0">
      <alignment horizontal="left" vertical="center"/>
    </xf>
    <xf numFmtId="164" fontId="5" fillId="8" borderId="5" applyAlignment="1" pivotButton="0" quotePrefix="0" xfId="0">
      <alignment horizontal="center" vertical="center"/>
    </xf>
    <xf numFmtId="0" fontId="5" fillId="9" borderId="6" applyAlignment="1" pivotButton="0" quotePrefix="0" xfId="0">
      <alignment horizontal="left" vertical="center"/>
    </xf>
    <xf numFmtId="0" fontId="3" fillId="0" borderId="0" pivotButton="0" quotePrefix="0" xfId="0"/>
    <xf numFmtId="0" fontId="5" fillId="0" borderId="0" pivotButton="0" quotePrefix="0" xfId="0"/>
    <xf numFmtId="0" fontId="8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165" fontId="7" fillId="6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11" fillId="12" borderId="0" applyAlignment="1" pivotButton="0" quotePrefix="0" xfId="0">
      <alignment horizontal="left" vertical="top" wrapText="1"/>
    </xf>
    <xf numFmtId="0" fontId="1" fillId="13" borderId="0" applyAlignment="1" pivotButton="0" quotePrefix="0" xfId="0">
      <alignment horizontal="left" vertical="center"/>
    </xf>
    <xf numFmtId="2" fontId="9" fillId="7" borderId="2" applyAlignment="1" pivotButton="0" quotePrefix="0" xfId="0" applyProtection="1">
      <alignment horizontal="center" vertical="center"/>
      <protection locked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0" customHeight="1">
      <c r="A1" s="1" t="inlineStr">
        <is>
          <t>Monthly Returns (%) — Jun 2016 to May 2021</t>
        </is>
      </c>
    </row>
    <row r="2">
      <c r="A2" s="2" t="inlineStr"/>
      <c r="B2" s="2" t="inlineStr">
        <is>
          <t>Info Tech</t>
        </is>
      </c>
      <c r="C2" s="2" t="inlineStr">
        <is>
          <t>Health Care</t>
        </is>
      </c>
      <c r="D2" s="2" t="inlineStr">
        <is>
          <t>Cons. Disc.</t>
        </is>
      </c>
      <c r="E2" s="2" t="inlineStr">
        <is>
          <t>Telecom</t>
        </is>
      </c>
      <c r="F2" s="2" t="inlineStr">
        <is>
          <t>Financials</t>
        </is>
      </c>
    </row>
    <row r="3">
      <c r="A3" s="3" t="n"/>
      <c r="B3" s="3" t="n"/>
      <c r="C3" s="3" t="n"/>
      <c r="D3" s="3" t="n"/>
      <c r="E3" s="3" t="n"/>
      <c r="F3" s="3" t="n"/>
    </row>
    <row r="4" ht="18" customHeight="1">
      <c r="A4" s="4" t="inlineStr">
        <is>
          <t>Date</t>
        </is>
      </c>
      <c r="B4" s="4" t="inlineStr">
        <is>
          <t>VGT</t>
        </is>
      </c>
      <c r="C4" s="4" t="inlineStr">
        <is>
          <t>VHT</t>
        </is>
      </c>
      <c r="D4" s="4" t="inlineStr">
        <is>
          <t>VCR</t>
        </is>
      </c>
      <c r="E4" s="4" t="inlineStr">
        <is>
          <t>VOX</t>
        </is>
      </c>
      <c r="F4" s="4" t="inlineStr">
        <is>
          <t>VFH</t>
        </is>
      </c>
    </row>
    <row r="5">
      <c r="A5" s="5" t="inlineStr">
        <is>
          <t>Jun 2016</t>
        </is>
      </c>
      <c r="B5" s="6" t="n">
        <v>-2.6366</v>
      </c>
      <c r="C5" s="6" t="n">
        <v>0.3152</v>
      </c>
      <c r="D5" s="6" t="n">
        <v>-1.4223</v>
      </c>
      <c r="E5" s="6" t="n">
        <v>6.505</v>
      </c>
      <c r="F5" s="6" t="n">
        <v>-3.1295</v>
      </c>
    </row>
    <row r="6">
      <c r="A6" s="7" t="inlineStr">
        <is>
          <t>Jul 2016</t>
        </is>
      </c>
      <c r="B6" s="8" t="n">
        <v>7.9226</v>
      </c>
      <c r="C6" s="8" t="n">
        <v>5.7703</v>
      </c>
      <c r="D6" s="8" t="n">
        <v>5.1741</v>
      </c>
      <c r="E6" s="8" t="n">
        <v>3.3376</v>
      </c>
      <c r="F6" s="8" t="n">
        <v>4.5314</v>
      </c>
    </row>
    <row r="7">
      <c r="A7" s="5" t="inlineStr">
        <is>
          <t>Aug 2016</t>
        </is>
      </c>
      <c r="B7" s="6" t="n">
        <v>2.3351</v>
      </c>
      <c r="C7" s="6" t="n">
        <v>-3.1841</v>
      </c>
      <c r="D7" s="6" t="n">
        <v>-1.1339</v>
      </c>
      <c r="E7" s="6" t="n">
        <v>-5.9476</v>
      </c>
      <c r="F7" s="6" t="n">
        <v>3.2311</v>
      </c>
    </row>
    <row r="8">
      <c r="A8" s="7" t="inlineStr">
        <is>
          <t>Sep 2016</t>
        </is>
      </c>
      <c r="B8" s="8" t="n">
        <v>2.1037</v>
      </c>
      <c r="C8" s="8" t="n">
        <v>-0.2177</v>
      </c>
      <c r="D8" s="8" t="n">
        <v>-0.5379</v>
      </c>
      <c r="E8" s="8" t="n">
        <v>-0.6839</v>
      </c>
      <c r="F8" s="8" t="n">
        <v>-2.8346</v>
      </c>
    </row>
    <row r="9">
      <c r="A9" s="5" t="inlineStr">
        <is>
          <t>Oct 2016</t>
        </is>
      </c>
      <c r="B9" s="6" t="n">
        <v>-0.2014</v>
      </c>
      <c r="C9" s="6" t="n">
        <v>-6.8298</v>
      </c>
      <c r="D9" s="6" t="n">
        <v>-2.0676</v>
      </c>
      <c r="E9" s="6" t="n">
        <v>-2.7734</v>
      </c>
      <c r="F9" s="6" t="n">
        <v>2.4656</v>
      </c>
    </row>
    <row r="10">
      <c r="A10" s="7" t="inlineStr">
        <is>
          <t>Nov 2016</t>
        </is>
      </c>
      <c r="B10" s="8" t="n">
        <v>0.5262</v>
      </c>
      <c r="C10" s="8" t="n">
        <v>2.6753</v>
      </c>
      <c r="D10" s="8" t="n">
        <v>5.258</v>
      </c>
      <c r="E10" s="8" t="n">
        <v>3.2534</v>
      </c>
      <c r="F10" s="8" t="n">
        <v>13.8425</v>
      </c>
    </row>
    <row r="11">
      <c r="A11" s="5" t="inlineStr">
        <is>
          <t>Dec 2016</t>
        </is>
      </c>
      <c r="B11" s="6" t="n">
        <v>0.9556</v>
      </c>
      <c r="C11" s="6" t="n">
        <v>0.09470000000000001</v>
      </c>
      <c r="D11" s="6" t="n">
        <v>-0.3485</v>
      </c>
      <c r="E11" s="6" t="n">
        <v>6.6106</v>
      </c>
      <c r="F11" s="6" t="n">
        <v>3.6862</v>
      </c>
    </row>
    <row r="12">
      <c r="A12" s="7" t="inlineStr">
        <is>
          <t>Jan 2017</t>
        </is>
      </c>
      <c r="B12" s="8" t="n">
        <v>4.6788</v>
      </c>
      <c r="C12" s="8" t="n">
        <v>3.0771</v>
      </c>
      <c r="D12" s="8" t="n">
        <v>4.3281</v>
      </c>
      <c r="E12" s="8" t="n">
        <v>1.169</v>
      </c>
      <c r="F12" s="8" t="n">
        <v>0.5947</v>
      </c>
    </row>
    <row r="13">
      <c r="A13" s="5" t="inlineStr">
        <is>
          <t>Feb 2017</t>
        </is>
      </c>
      <c r="B13" s="6" t="n">
        <v>4.9393</v>
      </c>
      <c r="C13" s="6" t="n">
        <v>6.4162</v>
      </c>
      <c r="D13" s="6" t="n">
        <v>1.76</v>
      </c>
      <c r="E13" s="6" t="n">
        <v>-2.7753</v>
      </c>
      <c r="F13" s="6" t="n">
        <v>4.8452</v>
      </c>
    </row>
    <row r="14">
      <c r="A14" s="7" t="inlineStr">
        <is>
          <t>Mar 2017</t>
        </is>
      </c>
      <c r="B14" s="8" t="n">
        <v>1.9774</v>
      </c>
      <c r="C14" s="8" t="n">
        <v>-0.4838</v>
      </c>
      <c r="D14" s="8" t="n">
        <v>1.9136</v>
      </c>
      <c r="E14" s="8" t="n">
        <v>-2.9364</v>
      </c>
      <c r="F14" s="8" t="n">
        <v>-2.9685</v>
      </c>
    </row>
    <row r="15">
      <c r="A15" s="5" t="inlineStr">
        <is>
          <t>Apr 2017</t>
        </is>
      </c>
      <c r="B15" s="6" t="n">
        <v>2.6143</v>
      </c>
      <c r="C15" s="6" t="n">
        <v>2.0047</v>
      </c>
      <c r="D15" s="6" t="n">
        <v>2.7735</v>
      </c>
      <c r="E15" s="6" t="n">
        <v>3.0669</v>
      </c>
      <c r="F15" s="6" t="n">
        <v>-0.4338</v>
      </c>
    </row>
    <row r="16">
      <c r="A16" s="7" t="inlineStr">
        <is>
          <t>May 2017</t>
        </is>
      </c>
      <c r="B16" s="8" t="n">
        <v>4.4092</v>
      </c>
      <c r="C16" s="8" t="n">
        <v>0.4924</v>
      </c>
      <c r="D16" s="8" t="n">
        <v>0.733</v>
      </c>
      <c r="E16" s="8" t="n">
        <v>-3.0634</v>
      </c>
      <c r="F16" s="8" t="n">
        <v>-1.615</v>
      </c>
    </row>
    <row r="17">
      <c r="A17" s="5" t="inlineStr">
        <is>
          <t>Jun 2017</t>
        </is>
      </c>
      <c r="B17" s="6" t="n">
        <v>-2.8154</v>
      </c>
      <c r="C17" s="6" t="n">
        <v>4.6513</v>
      </c>
      <c r="D17" s="6" t="n">
        <v>-0.6647</v>
      </c>
      <c r="E17" s="6" t="n">
        <v>-2.2877</v>
      </c>
      <c r="F17" s="6" t="n">
        <v>5.8555</v>
      </c>
    </row>
    <row r="18">
      <c r="A18" s="7" t="inlineStr">
        <is>
          <t>Jul 2017</t>
        </is>
      </c>
      <c r="B18" s="8" t="n">
        <v>4.4307</v>
      </c>
      <c r="C18" s="8" t="n">
        <v>0.9359</v>
      </c>
      <c r="D18" s="8" t="n">
        <v>1.8365</v>
      </c>
      <c r="E18" s="8" t="n">
        <v>2.9469</v>
      </c>
      <c r="F18" s="8" t="n">
        <v>2.0304</v>
      </c>
    </row>
    <row r="19">
      <c r="A19" s="5" t="inlineStr">
        <is>
          <t>Aug 2017</t>
        </is>
      </c>
      <c r="B19" s="6" t="n">
        <v>3.1092</v>
      </c>
      <c r="C19" s="6" t="n">
        <v>1.8955</v>
      </c>
      <c r="D19" s="6" t="n">
        <v>-1.6789</v>
      </c>
      <c r="E19" s="6" t="n">
        <v>-0.2346</v>
      </c>
      <c r="F19" s="6" t="n">
        <v>-2.0145</v>
      </c>
    </row>
    <row r="20">
      <c r="A20" s="7" t="inlineStr">
        <is>
          <t>Sep 2017</t>
        </is>
      </c>
      <c r="B20" s="8" t="n">
        <v>0.5092</v>
      </c>
      <c r="C20" s="8" t="n">
        <v>0.8076</v>
      </c>
      <c r="D20" s="8" t="n">
        <v>1.1431</v>
      </c>
      <c r="E20" s="8" t="n">
        <v>-1.379</v>
      </c>
      <c r="F20" s="8" t="n">
        <v>4.9791</v>
      </c>
    </row>
    <row r="21">
      <c r="A21" s="5" t="inlineStr">
        <is>
          <t>Oct 2017</t>
        </is>
      </c>
      <c r="B21" s="6" t="n">
        <v>7.6972</v>
      </c>
      <c r="C21" s="6" t="n">
        <v>-0.41</v>
      </c>
      <c r="D21" s="6" t="n">
        <v>2.0231</v>
      </c>
      <c r="E21" s="6" t="n">
        <v>-2.1865</v>
      </c>
      <c r="F21" s="6" t="n">
        <v>3.0278</v>
      </c>
    </row>
    <row r="22">
      <c r="A22" s="7" t="inlineStr">
        <is>
          <t>Nov 2017</t>
        </is>
      </c>
      <c r="B22" s="8" t="n">
        <v>1.0905</v>
      </c>
      <c r="C22" s="8" t="n">
        <v>2.8781</v>
      </c>
      <c r="D22" s="8" t="n">
        <v>4.9969</v>
      </c>
      <c r="E22" s="8" t="n">
        <v>2.4824</v>
      </c>
      <c r="F22" s="8" t="n">
        <v>3.5213</v>
      </c>
    </row>
    <row r="23">
      <c r="A23" s="5" t="inlineStr">
        <is>
          <t>Dec 2017</t>
        </is>
      </c>
      <c r="B23" s="6" t="n">
        <v>-0.1697</v>
      </c>
      <c r="C23" s="6" t="n">
        <v>-0.8682</v>
      </c>
      <c r="D23" s="6" t="n">
        <v>1.9612</v>
      </c>
      <c r="E23" s="6" t="n">
        <v>-0.5456</v>
      </c>
      <c r="F23" s="6" t="n">
        <v>0.9513</v>
      </c>
    </row>
    <row r="24">
      <c r="A24" s="7" t="inlineStr">
        <is>
          <t>Jan 2018</t>
        </is>
      </c>
      <c r="B24" s="8" t="n">
        <v>7.8371</v>
      </c>
      <c r="C24" s="8" t="n">
        <v>7.1754</v>
      </c>
      <c r="D24" s="8" t="n">
        <v>8.7097</v>
      </c>
      <c r="E24" s="8" t="n">
        <v>2.3516</v>
      </c>
      <c r="F24" s="8" t="n">
        <v>6.2458</v>
      </c>
    </row>
    <row r="25">
      <c r="A25" s="5" t="inlineStr">
        <is>
          <t>Feb 2018</t>
        </is>
      </c>
      <c r="B25" s="6" t="n">
        <v>0.096</v>
      </c>
      <c r="C25" s="6" t="n">
        <v>-4.192</v>
      </c>
      <c r="D25" s="6" t="n">
        <v>-3.6923</v>
      </c>
      <c r="E25" s="6" t="n">
        <v>-5.7165</v>
      </c>
      <c r="F25" s="6" t="n">
        <v>-2.7148</v>
      </c>
    </row>
    <row r="26">
      <c r="A26" s="7" t="inlineStr">
        <is>
          <t>Mar 2018</t>
        </is>
      </c>
      <c r="B26" s="8" t="n">
        <v>-3.5751</v>
      </c>
      <c r="C26" s="8" t="n">
        <v>-2.6443</v>
      </c>
      <c r="D26" s="8" t="n">
        <v>-2.5436</v>
      </c>
      <c r="E26" s="8" t="n">
        <v>-3.7391</v>
      </c>
      <c r="F26" s="8" t="n">
        <v>-3.554</v>
      </c>
    </row>
    <row r="27">
      <c r="A27" s="5" t="inlineStr">
        <is>
          <t>Apr 2018</t>
        </is>
      </c>
      <c r="B27" s="6" t="n">
        <v>0.1838</v>
      </c>
      <c r="C27" s="6" t="n">
        <v>1.155</v>
      </c>
      <c r="D27" s="6" t="n">
        <v>2.1737</v>
      </c>
      <c r="E27" s="6" t="n">
        <v>2.2752</v>
      </c>
      <c r="F27" s="6" t="n">
        <v>-0.0188</v>
      </c>
    </row>
    <row r="28">
      <c r="A28" s="7" t="inlineStr">
        <is>
          <t>May 2018</t>
        </is>
      </c>
      <c r="B28" s="8" t="n">
        <v>7.0485</v>
      </c>
      <c r="C28" s="8" t="n">
        <v>1.5362</v>
      </c>
      <c r="D28" s="8" t="n">
        <v>2.1957</v>
      </c>
      <c r="E28" s="8" t="n">
        <v>-2.6294</v>
      </c>
      <c r="F28" s="8" t="n">
        <v>-0.1589</v>
      </c>
    </row>
    <row r="29">
      <c r="A29" s="5" t="inlineStr">
        <is>
          <t>Jun 2018</t>
        </is>
      </c>
      <c r="B29" s="6" t="n">
        <v>-0.8798</v>
      </c>
      <c r="C29" s="6" t="n">
        <v>1.1633</v>
      </c>
      <c r="D29" s="6" t="n">
        <v>2.663</v>
      </c>
      <c r="E29" s="6" t="n">
        <v>2.8336</v>
      </c>
      <c r="F29" s="6" t="n">
        <v>-2.402</v>
      </c>
    </row>
    <row r="30">
      <c r="A30" s="7" t="inlineStr">
        <is>
          <t>Jul 2018</t>
        </is>
      </c>
      <c r="B30" s="8" t="n">
        <v>2.9034</v>
      </c>
      <c r="C30" s="8" t="n">
        <v>6.3719</v>
      </c>
      <c r="D30" s="8" t="n">
        <v>1.794</v>
      </c>
      <c r="E30" s="8" t="n">
        <v>0.3174</v>
      </c>
      <c r="F30" s="8" t="n">
        <v>5.2471</v>
      </c>
    </row>
    <row r="31">
      <c r="A31" s="5" t="inlineStr">
        <is>
          <t>Aug 2018</t>
        </is>
      </c>
      <c r="B31" s="6" t="n">
        <v>8.938499999999999</v>
      </c>
      <c r="C31" s="6" t="n">
        <v>5.0116</v>
      </c>
      <c r="D31" s="6" t="n">
        <v>5.1072</v>
      </c>
      <c r="E31" s="6" t="n">
        <v>2.8311</v>
      </c>
      <c r="F31" s="6" t="n">
        <v>1.3737</v>
      </c>
    </row>
    <row r="32">
      <c r="A32" s="7" t="inlineStr">
        <is>
          <t>Sep 2018</t>
        </is>
      </c>
      <c r="B32" s="8" t="n">
        <v>-0.1184</v>
      </c>
      <c r="C32" s="8" t="n">
        <v>1.892</v>
      </c>
      <c r="D32" s="8" t="n">
        <v>-0.2488</v>
      </c>
      <c r="E32" s="8" t="n">
        <v>0.2189</v>
      </c>
      <c r="F32" s="8" t="n">
        <v>-3.0875</v>
      </c>
    </row>
    <row r="33">
      <c r="A33" s="5" t="inlineStr">
        <is>
          <t>Oct 2018</t>
        </is>
      </c>
      <c r="B33" s="6" t="n">
        <v>-8.1807</v>
      </c>
      <c r="C33" s="6" t="n">
        <v>-7.3948</v>
      </c>
      <c r="D33" s="6" t="n">
        <v>-9.954599999999999</v>
      </c>
      <c r="E33" s="6" t="n">
        <v>-5.9124</v>
      </c>
      <c r="F33" s="6" t="n">
        <v>-4.8833</v>
      </c>
    </row>
    <row r="34">
      <c r="A34" s="7" t="inlineStr">
        <is>
          <t>Nov 2018</t>
        </is>
      </c>
      <c r="B34" s="8" t="n">
        <v>-1.4672</v>
      </c>
      <c r="C34" s="8" t="n">
        <v>6.5273</v>
      </c>
      <c r="D34" s="8" t="n">
        <v>2.3273</v>
      </c>
      <c r="E34" s="8" t="n">
        <v>-0.7352</v>
      </c>
      <c r="F34" s="8" t="n">
        <v>2.6805</v>
      </c>
    </row>
    <row r="35">
      <c r="A35" s="5" t="inlineStr">
        <is>
          <t>Dec 2018</t>
        </is>
      </c>
      <c r="B35" s="6" t="n">
        <v>-8.6714</v>
      </c>
      <c r="C35" s="6" t="n">
        <v>-9.4701</v>
      </c>
      <c r="D35" s="6" t="n">
        <v>-9.194000000000001</v>
      </c>
      <c r="E35" s="6" t="n">
        <v>-8.566800000000001</v>
      </c>
      <c r="F35" s="6" t="n">
        <v>-11.9549</v>
      </c>
    </row>
    <row r="36">
      <c r="A36" s="7" t="inlineStr">
        <is>
          <t>Jan 2019</t>
        </is>
      </c>
      <c r="B36" s="8" t="n">
        <v>8.3813</v>
      </c>
      <c r="C36" s="8" t="n">
        <v>6.3217</v>
      </c>
      <c r="D36" s="8" t="n">
        <v>10.4713</v>
      </c>
      <c r="E36" s="8" t="n">
        <v>10.9057</v>
      </c>
      <c r="F36" s="8" t="n">
        <v>10.1352</v>
      </c>
    </row>
    <row r="37">
      <c r="A37" s="5" t="inlineStr">
        <is>
          <t>Feb 2019</t>
        </is>
      </c>
      <c r="B37" s="6" t="n">
        <v>7.3268</v>
      </c>
      <c r="C37" s="6" t="n">
        <v>1.6399</v>
      </c>
      <c r="D37" s="6" t="n">
        <v>1.5027</v>
      </c>
      <c r="E37" s="6" t="n">
        <v>0.3663</v>
      </c>
      <c r="F37" s="6" t="n">
        <v>3.1101</v>
      </c>
    </row>
    <row r="38">
      <c r="A38" s="7" t="inlineStr">
        <is>
          <t>Mar 2019</t>
        </is>
      </c>
      <c r="B38" s="8" t="n">
        <v>3.7598</v>
      </c>
      <c r="C38" s="8" t="n">
        <v>-0.2544</v>
      </c>
      <c r="D38" s="8" t="n">
        <v>2.5091</v>
      </c>
      <c r="E38" s="8" t="n">
        <v>1.6182</v>
      </c>
      <c r="F38" s="8" t="n">
        <v>-3.6285</v>
      </c>
    </row>
    <row r="39">
      <c r="A39" s="5" t="inlineStr">
        <is>
          <t>Apr 2019</t>
        </is>
      </c>
      <c r="B39" s="6" t="n">
        <v>6.6892</v>
      </c>
      <c r="C39" s="6" t="n">
        <v>-2.0745</v>
      </c>
      <c r="D39" s="6" t="n">
        <v>5.3691</v>
      </c>
      <c r="E39" s="6" t="n">
        <v>6.242</v>
      </c>
      <c r="F39" s="6" t="n">
        <v>9.148400000000001</v>
      </c>
    </row>
    <row r="40">
      <c r="A40" s="7" t="inlineStr">
        <is>
          <t>May 2019</t>
        </is>
      </c>
      <c r="B40" s="8" t="n">
        <v>-8.8796</v>
      </c>
      <c r="C40" s="8" t="n">
        <v>-2.6753</v>
      </c>
      <c r="D40" s="8" t="n">
        <v>-7.8969</v>
      </c>
      <c r="E40" s="8" t="n">
        <v>-5.6559</v>
      </c>
      <c r="F40" s="8" t="n">
        <v>-7.0083</v>
      </c>
    </row>
    <row r="41">
      <c r="A41" s="5" t="inlineStr">
        <is>
          <t>Jun 2019</t>
        </is>
      </c>
      <c r="B41" s="6" t="n">
        <v>8.449</v>
      </c>
      <c r="C41" s="6" t="n">
        <v>6.4895</v>
      </c>
      <c r="D41" s="6" t="n">
        <v>7.4835</v>
      </c>
      <c r="E41" s="6" t="n">
        <v>3.7334</v>
      </c>
      <c r="F41" s="6" t="n">
        <v>5.9248</v>
      </c>
    </row>
    <row r="42">
      <c r="A42" s="7" t="inlineStr">
        <is>
          <t>Jul 2019</t>
        </is>
      </c>
      <c r="B42" s="8" t="n">
        <v>3.8482</v>
      </c>
      <c r="C42" s="8" t="n">
        <v>-0.6475</v>
      </c>
      <c r="D42" s="8" t="n">
        <v>1.4168</v>
      </c>
      <c r="E42" s="8" t="n">
        <v>3.6286</v>
      </c>
      <c r="F42" s="8" t="n">
        <v>3.3031</v>
      </c>
    </row>
    <row r="43">
      <c r="A43" s="5" t="inlineStr">
        <is>
          <t>Aug 2019</t>
        </is>
      </c>
      <c r="B43" s="6" t="n">
        <v>-2.1937</v>
      </c>
      <c r="C43" s="6" t="n">
        <v>-1.1767</v>
      </c>
      <c r="D43" s="6" t="n">
        <v>-1.7358</v>
      </c>
      <c r="E43" s="6" t="n">
        <v>-2.7772</v>
      </c>
      <c r="F43" s="6" t="n">
        <v>-5.1622</v>
      </c>
    </row>
    <row r="44">
      <c r="A44" s="7" t="inlineStr">
        <is>
          <t>Sep 2019</t>
        </is>
      </c>
      <c r="B44" s="8" t="n">
        <v>0.9318</v>
      </c>
      <c r="C44" s="8" t="n">
        <v>-1.1612</v>
      </c>
      <c r="D44" s="8" t="n">
        <v>1.0094</v>
      </c>
      <c r="E44" s="8" t="n">
        <v>-0.5392</v>
      </c>
      <c r="F44" s="8" t="n">
        <v>4.1047</v>
      </c>
    </row>
    <row r="45">
      <c r="A45" s="5" t="inlineStr">
        <is>
          <t>Oct 2019</t>
        </is>
      </c>
      <c r="B45" s="6" t="n">
        <v>4.1535</v>
      </c>
      <c r="C45" s="6" t="n">
        <v>5.1763</v>
      </c>
      <c r="D45" s="6" t="n">
        <v>1.04</v>
      </c>
      <c r="E45" s="6" t="n">
        <v>3.2845</v>
      </c>
      <c r="F45" s="6" t="n">
        <v>2.709</v>
      </c>
    </row>
    <row r="46">
      <c r="A46" s="7" t="inlineStr">
        <is>
          <t>Nov 2019</t>
        </is>
      </c>
      <c r="B46" s="8" t="n">
        <v>5.5938</v>
      </c>
      <c r="C46" s="8" t="n">
        <v>6.1298</v>
      </c>
      <c r="D46" s="8" t="n">
        <v>1.8633</v>
      </c>
      <c r="E46" s="8" t="n">
        <v>3.1915</v>
      </c>
      <c r="F46" s="8" t="n">
        <v>4.9419</v>
      </c>
    </row>
    <row r="47">
      <c r="A47" s="5" t="inlineStr">
        <is>
          <t>Dec 2019</t>
        </is>
      </c>
      <c r="B47" s="6" t="n">
        <v>3.6841</v>
      </c>
      <c r="C47" s="6" t="n">
        <v>2.8262</v>
      </c>
      <c r="D47" s="6" t="n">
        <v>2.5436</v>
      </c>
      <c r="E47" s="6" t="n">
        <v>1.9316</v>
      </c>
      <c r="F47" s="6" t="n">
        <v>1.7609</v>
      </c>
    </row>
    <row r="48">
      <c r="A48" s="7" t="inlineStr">
        <is>
          <t>Jan 2020</t>
        </is>
      </c>
      <c r="B48" s="8" t="n">
        <v>4.0941</v>
      </c>
      <c r="C48" s="8" t="n">
        <v>-2.1261</v>
      </c>
      <c r="D48" s="8" t="n">
        <v>1.6129</v>
      </c>
      <c r="E48" s="8" t="n">
        <v>0.9273</v>
      </c>
      <c r="F48" s="8" t="n">
        <v>-1.8012</v>
      </c>
    </row>
    <row r="49">
      <c r="A49" s="5" t="inlineStr">
        <is>
          <t>Feb 2020</t>
        </is>
      </c>
      <c r="B49" s="6" t="n">
        <v>-7.2901</v>
      </c>
      <c r="C49" s="6" t="n">
        <v>-6.237</v>
      </c>
      <c r="D49" s="6" t="n">
        <v>-7.5772</v>
      </c>
      <c r="E49" s="6" t="n">
        <v>-5.629</v>
      </c>
      <c r="F49" s="6" t="n">
        <v>-11.2021</v>
      </c>
    </row>
    <row r="50">
      <c r="A50" s="7" t="inlineStr">
        <is>
          <t>Mar 2020</t>
        </is>
      </c>
      <c r="B50" s="8" t="n">
        <v>-10.0785</v>
      </c>
      <c r="C50" s="8" t="n">
        <v>-5.2484</v>
      </c>
      <c r="D50" s="8" t="n">
        <v>-17.9879</v>
      </c>
      <c r="E50" s="8" t="n">
        <v>-14.5869</v>
      </c>
      <c r="F50" s="8" t="n">
        <v>-23.2794</v>
      </c>
    </row>
    <row r="51">
      <c r="A51" s="5" t="inlineStr">
        <is>
          <t>Apr 2020</t>
        </is>
      </c>
      <c r="B51" s="6" t="n">
        <v>14.6478</v>
      </c>
      <c r="C51" s="6" t="n">
        <v>13.7374</v>
      </c>
      <c r="D51" s="6" t="n">
        <v>22.2019</v>
      </c>
      <c r="E51" s="6" t="n">
        <v>14.6627</v>
      </c>
      <c r="F51" s="6" t="n">
        <v>10.759</v>
      </c>
    </row>
    <row r="52">
      <c r="A52" s="7" t="inlineStr">
        <is>
          <t>May 2020</t>
        </is>
      </c>
      <c r="B52" s="8" t="n">
        <v>7.8636</v>
      </c>
      <c r="C52" s="8" t="n">
        <v>4.352</v>
      </c>
      <c r="D52" s="8" t="n">
        <v>7.2791</v>
      </c>
      <c r="E52" s="8" t="n">
        <v>6.9191</v>
      </c>
      <c r="F52" s="8" t="n">
        <v>2.8848</v>
      </c>
    </row>
    <row r="53">
      <c r="A53" s="5" t="inlineStr">
        <is>
          <t>Jun 2020</t>
        </is>
      </c>
      <c r="B53" s="6" t="n">
        <v>6.7732</v>
      </c>
      <c r="C53" s="6" t="n">
        <v>-2.0191</v>
      </c>
      <c r="D53" s="6" t="n">
        <v>5.1967</v>
      </c>
      <c r="E53" s="6" t="n">
        <v>-0.161</v>
      </c>
      <c r="F53" s="6" t="n">
        <v>-0.3831</v>
      </c>
    </row>
    <row r="54">
      <c r="A54" s="7" t="inlineStr">
        <is>
          <t>Jul 2020</t>
        </is>
      </c>
      <c r="B54" s="8" t="n">
        <v>6.2047</v>
      </c>
      <c r="C54" s="8" t="n">
        <v>5.6242</v>
      </c>
      <c r="D54" s="8" t="n">
        <v>9.5121</v>
      </c>
      <c r="E54" s="8" t="n">
        <v>7.6523</v>
      </c>
      <c r="F54" s="8" t="n">
        <v>3.7092</v>
      </c>
    </row>
    <row r="55">
      <c r="A55" s="5" t="inlineStr">
        <is>
          <t>Aug 2020</t>
        </is>
      </c>
      <c r="B55" s="6" t="n">
        <v>11.1356</v>
      </c>
      <c r="C55" s="6" t="n">
        <v>2.3583</v>
      </c>
      <c r="D55" s="6" t="n">
        <v>12.9475</v>
      </c>
      <c r="E55" s="6" t="n">
        <v>8.088100000000001</v>
      </c>
      <c r="F55" s="6" t="n">
        <v>3.8703</v>
      </c>
    </row>
    <row r="56">
      <c r="A56" s="7" t="inlineStr">
        <is>
          <t>Sep 2020</t>
        </is>
      </c>
      <c r="B56" s="8" t="n">
        <v>-5.0891</v>
      </c>
      <c r="C56" s="8" t="n">
        <v>-1.6725</v>
      </c>
      <c r="D56" s="8" t="n">
        <v>-4.8967</v>
      </c>
      <c r="E56" s="8" t="n">
        <v>-5.6585</v>
      </c>
      <c r="F56" s="8" t="n">
        <v>-4.3961</v>
      </c>
    </row>
    <row r="57">
      <c r="A57" s="5" t="inlineStr">
        <is>
          <t>Oct 2020</t>
        </is>
      </c>
      <c r="B57" s="6" t="n">
        <v>-4.0976</v>
      </c>
      <c r="C57" s="6" t="n">
        <v>-2.5589</v>
      </c>
      <c r="D57" s="6" t="n">
        <v>-0.7392</v>
      </c>
      <c r="E57" s="6" t="n">
        <v>0.9905</v>
      </c>
      <c r="F57" s="6" t="n">
        <v>1.3562</v>
      </c>
    </row>
    <row r="58">
      <c r="A58" s="7" t="inlineStr">
        <is>
          <t>Nov 2020</t>
        </is>
      </c>
      <c r="B58" s="8" t="n">
        <v>12.5306</v>
      </c>
      <c r="C58" s="8" t="n">
        <v>8.8367</v>
      </c>
      <c r="D58" s="8" t="n">
        <v>14.1236</v>
      </c>
      <c r="E58" s="8" t="n">
        <v>12.2954</v>
      </c>
      <c r="F58" s="8" t="n">
        <v>16.3726</v>
      </c>
    </row>
    <row r="59">
      <c r="A59" s="5" t="inlineStr">
        <is>
          <t>Dec 2020</t>
        </is>
      </c>
      <c r="B59" s="6" t="n">
        <v>5.5051</v>
      </c>
      <c r="C59" s="6" t="n">
        <v>3.742</v>
      </c>
      <c r="D59" s="6" t="n">
        <v>5.2394</v>
      </c>
      <c r="E59" s="6" t="n">
        <v>4.286</v>
      </c>
      <c r="F59" s="6" t="n">
        <v>6.2108</v>
      </c>
    </row>
    <row r="60">
      <c r="A60" s="7" t="inlineStr">
        <is>
          <t>Jan 2021</t>
        </is>
      </c>
      <c r="B60" s="8" t="n">
        <v>-0.5063</v>
      </c>
      <c r="C60" s="8" t="n">
        <v>2.7792</v>
      </c>
      <c r="D60" s="8" t="n">
        <v>2.9472</v>
      </c>
      <c r="E60" s="8" t="n">
        <v>-0.0057</v>
      </c>
      <c r="F60" s="8" t="n">
        <v>-0.8595</v>
      </c>
    </row>
    <row r="61">
      <c r="A61" s="5" t="inlineStr">
        <is>
          <t>Feb 2021</t>
        </is>
      </c>
      <c r="B61" s="6" t="n">
        <v>1.4802</v>
      </c>
      <c r="C61" s="6" t="n">
        <v>-1.9255</v>
      </c>
      <c r="D61" s="6" t="n">
        <v>0.08119999999999999</v>
      </c>
      <c r="E61" s="6" t="n">
        <v>7.0768</v>
      </c>
      <c r="F61" s="6" t="n">
        <v>11.7647</v>
      </c>
    </row>
    <row r="62">
      <c r="A62" s="7" t="inlineStr">
        <is>
          <t>Mar 2021</t>
        </is>
      </c>
      <c r="B62" s="8" t="n">
        <v>0.5582</v>
      </c>
      <c r="C62" s="8" t="n">
        <v>1.8387</v>
      </c>
      <c r="D62" s="8" t="n">
        <v>4.1831</v>
      </c>
      <c r="E62" s="8" t="n">
        <v>1.2066</v>
      </c>
      <c r="F62" s="8" t="n">
        <v>5.3879</v>
      </c>
    </row>
    <row r="63">
      <c r="A63" s="5" t="inlineStr">
        <is>
          <t>Apr 2021</t>
        </is>
      </c>
      <c r="B63" s="6" t="n">
        <v>5.3359</v>
      </c>
      <c r="C63" s="6" t="n">
        <v>4.4386</v>
      </c>
      <c r="D63" s="6" t="n">
        <v>6.3577</v>
      </c>
      <c r="E63" s="6" t="n">
        <v>6.8493</v>
      </c>
      <c r="F63" s="6" t="n">
        <v>6.7568</v>
      </c>
    </row>
    <row r="64">
      <c r="A64" s="7" t="inlineStr">
        <is>
          <t>May 2021</t>
        </is>
      </c>
      <c r="B64" s="8" t="n">
        <v>-1.2363</v>
      </c>
      <c r="C64" s="8" t="n">
        <v>0.7346</v>
      </c>
      <c r="D64" s="8" t="n">
        <v>-2.8595</v>
      </c>
      <c r="E64" s="8" t="n">
        <v>-0.08649999999999999</v>
      </c>
      <c r="F64" s="8" t="n">
        <v>4.1314</v>
      </c>
    </row>
  </sheetData>
  <sheetProtection sheet="1" objects="1" scenarios="1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 ht="22" customHeight="1">
      <c r="A1" s="1" t="inlineStr">
        <is>
          <t>PART 1 — Statistical Analysis</t>
        </is>
      </c>
    </row>
    <row r="2" ht="28" customHeight="1">
      <c r="A2" s="9" t="inlineStr">
        <is>
          <t>Use Excel functions AVERAGE, STDEV.S, and CORREL on the Returns sheet (rows 5:64) to answer Questions 1a, 1b, and 1c.</t>
        </is>
      </c>
    </row>
    <row r="3" ht="6" customHeight="1"/>
    <row r="4" ht="18" customHeight="1">
      <c r="A4" s="10" t="inlineStr">
        <is>
          <t>Metric</t>
        </is>
      </c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Notes</t>
        </is>
      </c>
    </row>
    <row r="5">
      <c r="A5" s="11" t="inlineStr">
        <is>
          <t>Mean monthly return  μ  (%)</t>
        </is>
      </c>
      <c r="G5" s="13" t="inlineStr">
        <is>
          <t>← Pre-computed. Do NOT edit.</t>
        </is>
      </c>
    </row>
    <row r="6">
      <c r="A6" s="11" t="inlineStr">
        <is>
          <t>Std Dev  σ  (%)</t>
        </is>
      </c>
      <c r="G6" s="13" t="inlineStr">
        <is>
          <t>← Pre-computed. Do NOT edit.</t>
        </is>
      </c>
    </row>
    <row r="7" ht="8" customHeight="1"/>
    <row r="8" ht="18" customHeight="1">
      <c r="A8" s="14" t="inlineStr">
        <is>
          <t>Part 1 Answers (enter your answers on the Minicase website)</t>
        </is>
      </c>
    </row>
    <row r="9">
      <c r="A9" s="11" t="inlineStr">
        <is>
          <t>Q1a</t>
        </is>
      </c>
      <c r="B9" s="15" t="inlineStr"/>
      <c r="G9" s="13" t="inlineStr">
        <is>
          <t>← Identify ETF with highest μ from row 5 above</t>
        </is>
      </c>
    </row>
    <row r="10">
      <c r="A10" s="11" t="inlineStr">
        <is>
          <t>Q1b</t>
        </is>
      </c>
      <c r="B10" s="15" t="inlineStr"/>
      <c r="G10" s="13" t="inlineStr">
        <is>
          <t>← Enter the σ value (4 decimal places) from row 6 above</t>
        </is>
      </c>
    </row>
    <row r="11" ht="20" customHeight="1">
      <c r="A11" s="11" t="inlineStr">
        <is>
          <t>Q1c — YOU complete this formula →</t>
        </is>
      </c>
      <c r="B11" s="16">
        <f>CORREL(Returns!??5:??64, Returns!??5:??64)</f>
        <v/>
      </c>
      <c r="G11" s="13" t="inlineStr">
        <is>
          <t>← Q1c: Complete the CORREL formula — replace each ?? with the column letter of your Q1a ETF (1st ??) and Q1b ETF (2nd ??)</t>
        </is>
      </c>
    </row>
    <row r="12" ht="8" customHeight="1"/>
    <row r="13" ht="18" customHeight="1">
      <c r="A13" s="17" t="inlineStr">
        <is>
          <t>💡  EXCEL TIPS</t>
        </is>
      </c>
    </row>
    <row r="14" ht="20" customHeight="1">
      <c r="A14" s="18" t="inlineStr">
        <is>
          <t>Q1a</t>
        </is>
      </c>
      <c r="B14" s="19" t="inlineStr">
        <is>
          <t>Look at row 5 (Mean μ). The ETF with the LARGEST value is the answer.</t>
        </is>
      </c>
    </row>
    <row r="15" ht="20" customHeight="1">
      <c r="A15" s="18" t="inlineStr">
        <is>
          <t>Q1b</t>
        </is>
      </c>
      <c r="B15" s="19" t="inlineStr">
        <is>
          <t>Look at row 6 (Std Dev σ). The ETF with the SMALLEST value is the answer.</t>
        </is>
      </c>
    </row>
    <row r="16" ht="30" customHeight="1">
      <c r="A16" s="18" t="inlineStr">
        <is>
          <t>Q1c</t>
        </is>
      </c>
      <c r="B16" s="19" t="inlineStr">
        <is>
          <t>Replace the two ?? pairs with the column letters of your Q1a and Q1b ETFs.
Example: if Q1a = VGT (col B) and Q1b = VHT (col C), type:
=CORREL(Returns!B5:B64, Returns!C5:C64)</t>
        </is>
      </c>
    </row>
  </sheetData>
  <mergeCells count="10">
    <mergeCell ref="A13:G13"/>
    <mergeCell ref="B16:G16"/>
    <mergeCell ref="A1:G1"/>
    <mergeCell ref="A8:G8"/>
    <mergeCell ref="B14:G14"/>
    <mergeCell ref="B10:F10"/>
    <mergeCell ref="B11:F11"/>
    <mergeCell ref="A2:G2"/>
    <mergeCell ref="B15:G15"/>
    <mergeCell ref="B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6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6" customWidth="1" min="7" max="7"/>
    <col width="35" customWidth="1" min="8" max="8"/>
  </cols>
  <sheetData>
    <row r="1" ht="22" customHeight="1">
      <c r="A1" s="1" t="inlineStr">
        <is>
          <t>PORTFOLIO OPTIMIZER  —  Jun 2016 to May 2021</t>
        </is>
      </c>
    </row>
    <row r="2" ht="24" customHeight="1">
      <c r="A2" s="9" t="inlineStr">
        <is>
          <t>Change the BLUE weight cells (row 12) and use Excel Solver (Data → Solver) following the step-by-step instructions below.</t>
        </is>
      </c>
    </row>
    <row r="3" ht="8" customHeight="1"/>
    <row r="4" ht="18" customHeight="1">
      <c r="A4" s="20" t="inlineStr"/>
      <c r="B4" s="10" t="inlineStr">
        <is>
          <t>VGT</t>
        </is>
      </c>
      <c r="C4" s="10" t="inlineStr">
        <is>
          <t>VHT</t>
        </is>
      </c>
      <c r="D4" s="10" t="inlineStr">
        <is>
          <t>VCR</t>
        </is>
      </c>
      <c r="E4" s="10" t="inlineStr">
        <is>
          <t>VOX</t>
        </is>
      </c>
      <c r="F4" s="10" t="inlineStr">
        <is>
          <t>VFH</t>
        </is>
      </c>
      <c r="G4" s="10" t="inlineStr">
        <is>
          <t>Sum</t>
        </is>
      </c>
      <c r="H4" s="20" t="n"/>
    </row>
    <row r="5">
      <c r="A5" s="11" t="inlineStr">
        <is>
          <t>Mean monthly return  μ  (%)</t>
        </is>
      </c>
      <c r="B5" s="12">
        <f>Stats!B5</f>
        <v/>
      </c>
      <c r="C5" s="12">
        <f>Stats!C5</f>
        <v/>
      </c>
      <c r="D5" s="12">
        <f>Stats!D5</f>
        <v/>
      </c>
      <c r="E5" s="12">
        <f>Stats!E5</f>
        <v/>
      </c>
      <c r="F5" s="12">
        <f>Stats!F5</f>
        <v/>
      </c>
      <c r="H5" s="13" t="inlineStr">
        <is>
          <t>← from Stats sheet (do not edit)</t>
        </is>
      </c>
    </row>
    <row r="6">
      <c r="A6" s="11" t="inlineStr">
        <is>
          <t>Std Dev  σ  (%)</t>
        </is>
      </c>
      <c r="B6" s="12">
        <f>Stats!B6</f>
        <v/>
      </c>
      <c r="C6" s="12">
        <f>Stats!C6</f>
        <v/>
      </c>
      <c r="D6" s="12">
        <f>Stats!D6</f>
        <v/>
      </c>
      <c r="E6" s="12">
        <f>Stats!E6</f>
        <v/>
      </c>
      <c r="F6" s="12">
        <f>Stats!F6</f>
        <v/>
      </c>
      <c r="H6" s="13" t="inlineStr">
        <is>
          <t>← from Stats sheet (do not edit)</t>
        </is>
      </c>
    </row>
    <row r="7" ht="8" customHeight="1"/>
    <row r="8" ht="18" customHeight="1">
      <c r="A8" s="14" t="inlineStr">
        <is>
          <t>DECISION VARIABLES — Portfolio Weights  (must sum to 1; short allowed: min −20%, max 120%)</t>
        </is>
      </c>
    </row>
    <row r="9">
      <c r="A9" s="11" t="inlineStr">
        <is>
          <t>Weight  w  (%)</t>
        </is>
      </c>
      <c r="B9" s="21" t="inlineStr">
        <is>
          <t>VGT</t>
        </is>
      </c>
      <c r="C9" s="21" t="inlineStr">
        <is>
          <t>VHT</t>
        </is>
      </c>
      <c r="D9" s="21" t="inlineStr">
        <is>
          <t>VCR</t>
        </is>
      </c>
      <c r="E9" s="21" t="inlineStr">
        <is>
          <t>VOX</t>
        </is>
      </c>
      <c r="F9" s="21" t="inlineStr">
        <is>
          <t>VFH</t>
        </is>
      </c>
      <c r="G9" s="21" t="inlineStr">
        <is>
          <t>Sum = 1</t>
        </is>
      </c>
    </row>
    <row r="10" ht="6" customHeight="1"/>
    <row r="11" ht="20" customHeight="1">
      <c r="A11" s="22" t="inlineStr">
        <is>
          <t>→  Change these blue cells</t>
        </is>
      </c>
      <c r="B11" s="41" t="n">
        <v>0.2</v>
      </c>
      <c r="C11" s="41" t="n">
        <v>0.2</v>
      </c>
      <c r="D11" s="41" t="n">
        <v>0.2</v>
      </c>
      <c r="E11" s="41" t="n">
        <v>0.2</v>
      </c>
      <c r="F11" s="41" t="n">
        <v>0.2</v>
      </c>
      <c r="G11" s="23">
        <f>SUM(B11:F11)</f>
        <v>1</v>
      </c>
    </row>
    <row r="13" ht="8" customHeight="1"/>
    <row r="14">
      <c r="A14" s="25" t="inlineStr">
        <is>
          <t>Portfolio Return  Rp  (%)</t>
        </is>
      </c>
      <c r="B14" s="26">
        <f>SUMPRODUCT(B11:F11,B5:F5)</f>
        <v/>
      </c>
      <c r="C14" s="27" t="inlineStr">
        <is>
          <t>← Weighted-average of ETF mean returns</t>
        </is>
      </c>
    </row>
    <row r="15">
      <c r="A15" s="28" t="inlineStr">
        <is>
          <t>Portfolio Risk  σp  (%)</t>
        </is>
      </c>
      <c r="B15" s="29">
        <f>SQRT(B11*(B11*B30+C11*C30+D11*D30+E11*E30+F11*F30)+C11*(B11*B31+C11*C31+D11*D31+E11*E31+F11*F31)+D11*(B11*B32+C11*C32+D11*D32+E11*E32+F11*F32)+E11*(B11*B33+C11*C33+D11*D33+E11*E33+F11*F33)+F11*(B11*B34+C11*C34+D11*D34+E11*E34+F11*F34))</f>
        <v/>
      </c>
      <c r="C15" s="27" t="inlineStr">
        <is>
          <t>← Square root of portfolio variance (uses VarCov matrix below)</t>
        </is>
      </c>
    </row>
    <row r="16">
      <c r="A16" s="30" t="inlineStr">
        <is>
          <t>Sharpe Ratio  S  (monthly)</t>
        </is>
      </c>
      <c r="B16" s="29">
        <f>(B14-0.375)/B15</f>
        <v/>
      </c>
      <c r="C16" s="27" t="inlineStr">
        <is>
          <t>← (Portfolio Return − Rf) / Portfolio Risk;  Rf = 0.375% / month</t>
        </is>
      </c>
    </row>
    <row r="17" ht="8" customHeight="1"/>
    <row r="18" ht="18" customHeight="1">
      <c r="A18" s="14" t="inlineStr">
        <is>
          <t>CONSTRAINTS SUMMARY  (for reference — Solver will enforce these)</t>
        </is>
      </c>
    </row>
    <row r="19">
      <c r="A19" s="21" t="inlineStr">
        <is>
          <t>C1</t>
        </is>
      </c>
      <c r="B19" s="31" t="inlineStr">
        <is>
          <t>Budget constraint</t>
        </is>
      </c>
      <c r="C19" s="32" t="inlineStr">
        <is>
          <t>SUM(B11:F11) = 1</t>
        </is>
      </c>
      <c r="F19" s="13" t="inlineStr">
        <is>
          <t>Weights must sum to 1</t>
        </is>
      </c>
    </row>
    <row r="20">
      <c r="A20" s="21" t="inlineStr">
        <is>
          <t>C2</t>
        </is>
      </c>
      <c r="B20" s="31" t="inlineStr">
        <is>
          <t>Short-sale floor</t>
        </is>
      </c>
      <c r="C20" s="32" t="inlineStr">
        <is>
          <t>Each weight ≥ −0.20</t>
        </is>
      </c>
      <c r="F20" s="13" t="inlineStr">
        <is>
          <t>Max short position: −20%</t>
        </is>
      </c>
    </row>
    <row r="21">
      <c r="A21" s="21" t="inlineStr">
        <is>
          <t>C3</t>
        </is>
      </c>
      <c r="B21" s="31" t="inlineStr">
        <is>
          <t>Long-position cap</t>
        </is>
      </c>
      <c r="C21" s="32" t="inlineStr">
        <is>
          <t>Each weight ≤  1.20</t>
        </is>
      </c>
      <c r="F21" s="13" t="inlineStr">
        <is>
          <t>Max long position: 120%</t>
        </is>
      </c>
    </row>
    <row r="22">
      <c r="A22" s="21" t="inlineStr">
        <is>
          <t>C4</t>
        </is>
      </c>
      <c r="B22" s="31" t="inlineStr">
        <is>
          <t>Risk-free rate (monthly)</t>
        </is>
      </c>
      <c r="C22" s="32" t="inlineStr">
        <is>
          <t>Rf = 0.375%</t>
        </is>
      </c>
      <c r="F22" s="13">
        <f> 4.5% annual / 12</f>
        <v/>
      </c>
    </row>
    <row r="23">
      <c r="A23" s="21" t="inlineStr">
        <is>
          <t>C5</t>
        </is>
      </c>
      <c r="B23" s="31" t="inlineStr">
        <is>
          <t>Target return (Q2a only)</t>
        </is>
      </c>
      <c r="C23" s="32" t="inlineStr">
        <is>
          <t>Rp = 2.2861%</t>
        </is>
      </c>
      <c r="F23" s="13">
        <f> Mean return of VGT ETF</f>
        <v/>
      </c>
    </row>
    <row r="24" ht="6" customHeight="1"/>
    <row r="25" ht="18" customHeight="1">
      <c r="A25" s="33" t="inlineStr">
        <is>
          <t>VARIANCE-COVARIANCE MATRIX  Σ  (pre-computed — DO NOT MODIFY)</t>
        </is>
      </c>
    </row>
    <row r="26" ht="20" customHeight="1">
      <c r="A26" s="34" t="inlineStr">
        <is>
          <t>This matrix is used automatically by the Portfolio Risk formula in B15. It is pre-computed from your sample data.</t>
        </is>
      </c>
    </row>
    <row r="27" ht="6" customHeight="1"/>
    <row r="29" ht="18" customHeight="1">
      <c r="A29" s="35" t="inlineStr">
        <is>
          <t>Σ</t>
        </is>
      </c>
      <c r="B29" s="36" t="inlineStr">
        <is>
          <t>VGT</t>
        </is>
      </c>
      <c r="C29" s="36" t="inlineStr">
        <is>
          <t>VHT</t>
        </is>
      </c>
      <c r="D29" s="36" t="inlineStr">
        <is>
          <t>VCR</t>
        </is>
      </c>
      <c r="E29" s="36" t="inlineStr">
        <is>
          <t>VOX</t>
        </is>
      </c>
      <c r="F29" s="36" t="inlineStr">
        <is>
          <t>VFH</t>
        </is>
      </c>
    </row>
    <row r="30">
      <c r="A30" s="36" t="inlineStr">
        <is>
          <t>VGT</t>
        </is>
      </c>
      <c r="B30" s="37" t="n">
        <v>27.689088</v>
      </c>
      <c r="C30" s="37" t="n">
        <v>15.722736</v>
      </c>
      <c r="D30" s="37" t="n">
        <v>27.321574</v>
      </c>
      <c r="E30" s="37" t="n">
        <v>19.367074</v>
      </c>
      <c r="F30" s="37" t="n">
        <v>22.28399</v>
      </c>
    </row>
    <row r="31">
      <c r="A31" s="36" t="inlineStr">
        <is>
          <t>VHT</t>
        </is>
      </c>
      <c r="B31" s="37" t="n">
        <v>15.722736</v>
      </c>
      <c r="C31" s="37" t="n">
        <v>17.996263</v>
      </c>
      <c r="D31" s="37" t="n">
        <v>19.7609</v>
      </c>
      <c r="E31" s="37" t="n">
        <v>14.732623</v>
      </c>
      <c r="F31" s="37" t="n">
        <v>16.853497</v>
      </c>
    </row>
    <row r="32">
      <c r="A32" s="36" t="inlineStr">
        <is>
          <t>VCR</t>
        </is>
      </c>
      <c r="B32" s="37" t="n">
        <v>27.321574</v>
      </c>
      <c r="C32" s="37" t="n">
        <v>19.7609</v>
      </c>
      <c r="D32" s="37" t="n">
        <v>35.504951</v>
      </c>
      <c r="E32" s="37" t="n">
        <v>25.958798</v>
      </c>
      <c r="F32" s="37" t="n">
        <v>28.548057</v>
      </c>
    </row>
    <row r="33">
      <c r="A33" s="36" t="inlineStr">
        <is>
          <t>VOX</t>
        </is>
      </c>
      <c r="B33" s="37" t="n">
        <v>19.367074</v>
      </c>
      <c r="C33" s="37" t="n">
        <v>14.732623</v>
      </c>
      <c r="D33" s="37" t="n">
        <v>25.958798</v>
      </c>
      <c r="E33" s="37" t="n">
        <v>25.968922</v>
      </c>
      <c r="F33" s="37" t="n">
        <v>24.025822</v>
      </c>
    </row>
    <row r="34">
      <c r="A34" s="36" t="inlineStr">
        <is>
          <t>VFH</t>
        </is>
      </c>
      <c r="B34" s="37" t="n">
        <v>22.28399</v>
      </c>
      <c r="C34" s="37" t="n">
        <v>16.853497</v>
      </c>
      <c r="D34" s="37" t="n">
        <v>28.548057</v>
      </c>
      <c r="E34" s="37" t="n">
        <v>24.025822</v>
      </c>
      <c r="F34" s="37" t="n">
        <v>38.967444</v>
      </c>
    </row>
    <row r="35" ht="10" customHeight="1"/>
    <row r="36" ht="20" customHeight="1">
      <c r="A36" s="1" t="inlineStr">
        <is>
          <t>STEP-BY-STEP SOLVER INSTRUCTIONS</t>
        </is>
      </c>
    </row>
    <row r="37" ht="18" customHeight="1">
      <c r="A37" s="38" t="inlineStr">
        <is>
          <t>PORTFOLIO A — Target Return  (Q2a)</t>
        </is>
      </c>
    </row>
    <row r="38" ht="15" customHeight="1">
      <c r="A38" s="39" t="inlineStr">
        <is>
          <t>Objective: none (we only need to find weights, any objective works)
Set Objective: B14  →  Min (or leave default)
By Changing Variable Cells: B11:F11
Subject to the Constraints:
  G11 = 1              (budget constraint)
  B11:F11 &gt;= -0.2      (short-sale floor)
  B11:F11 &lt;= 1.2       (long cap)
  B14 = 2.2861   (target return = VGT mean μ)
Select Solving Method: GRG Nonlinear
Click Solve. Record the weights in B11:F11 and the risk in B15.</t>
        </is>
      </c>
    </row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6" customHeight="1"/>
    <row r="48" ht="18" customHeight="1">
      <c r="A48" s="38" t="inlineStr">
        <is>
          <t>PORTFOLIO B — Minimum Variance  (Q2b)</t>
        </is>
      </c>
    </row>
    <row r="49" ht="15" customHeight="1">
      <c r="A49" s="39" t="inlineStr">
        <is>
          <t>Objective: MINIMIZE B15  (portfolio risk σp)
Set Objective: B15  →  Min
By Changing Variable Cells: B11:F11
Subject to the Constraints:
  G11 = 1              (budget constraint)
  B11:F11 &gt;= -0.2      (short-sale floor)
  B11:F11 &lt;= 1.2       (long cap)
Select Solving Method: GRG Nonlinear
Click Solve. Record the weights, return (B14), and risk (B15).</t>
        </is>
      </c>
    </row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6" customHeight="1"/>
    <row r="59" ht="18" customHeight="1">
      <c r="A59" s="40" t="inlineStr">
        <is>
          <t>PORTFOLIO C — Maximum Sharpe Ratio  (Q2c)</t>
        </is>
      </c>
    </row>
    <row r="60" ht="15" customHeight="1">
      <c r="A60" s="39" t="inlineStr">
        <is>
          <t>Objective: MAXIMIZE B16  (Sharpe Ratio)
Set Objective: B16  →  Max
By Changing Variable Cells: B11:F11
Subject to the Constraints:
  G11 = 1              (budget constraint)
  B11:F11 &gt;= -0.2      (short-sale floor)
  B11:F11 &lt;= 1.2       (long cap)
Select Solving Method: GRG Nonlinear
⚠️  IMPORTANT — Use Multistart to avoid local optima:
   → Click Options → GRG Nonlinear tab → check 'Use Multistart'
   → Set Population Size = 100, then click OK
Click Solve. Record the Sharpe Ratio (B16), return (B14), and risk (B15).</t>
        </is>
      </c>
    </row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6" customHeight="1"/>
  </sheetData>
  <mergeCells count="31">
    <mergeCell ref="F20:H20"/>
    <mergeCell ref="A48:H48"/>
    <mergeCell ref="C16:H16"/>
    <mergeCell ref="C20:E20"/>
    <mergeCell ref="A59:H59"/>
    <mergeCell ref="C22:E22"/>
    <mergeCell ref="B20"/>
    <mergeCell ref="A36:H36"/>
    <mergeCell ref="A1:H1"/>
    <mergeCell ref="C21:E21"/>
    <mergeCell ref="F23:H23"/>
    <mergeCell ref="A38:H46"/>
    <mergeCell ref="F22:H22"/>
    <mergeCell ref="A25:H25"/>
    <mergeCell ref="C23:E23"/>
    <mergeCell ref="A49:H57"/>
    <mergeCell ref="A37:H37"/>
    <mergeCell ref="B22"/>
    <mergeCell ref="A18:H18"/>
    <mergeCell ref="A26:H26"/>
    <mergeCell ref="C19:E19"/>
    <mergeCell ref="A60:H68"/>
    <mergeCell ref="B21"/>
    <mergeCell ref="A2:H2"/>
    <mergeCell ref="A8:H8"/>
    <mergeCell ref="B23"/>
    <mergeCell ref="C15:H15"/>
    <mergeCell ref="F19:H19"/>
    <mergeCell ref="C14:H14"/>
    <mergeCell ref="B19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2026-09-29T00:53:16Z</dcterms:created>
  <dcterms:modified xmlns:dcterms="http://purl.org/dc/terms/" xmlns:xsi="http://www.w3.org/2001/XMLSchema-instance" xsi:type="dcterms:W3CDTF">2026-09-29T00:53:16Z</dcterms:modified>
</cp:coreProperties>
</file>