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s" sheetId="1" state="visible" r:id="rId1"/>
    <sheet xmlns:r="http://schemas.openxmlformats.org/officeDocument/2006/relationships" name="Stats" sheetId="2" state="visible" r:id="rId2"/>
    <sheet xmlns:r="http://schemas.openxmlformats.org/officeDocument/2006/relationships" name="Optimiz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14">
    <font>
      <name val="Calibri"/>
      <family val="2"/>
      <color theme="1"/>
      <sz val="11"/>
      <scheme val="minor"/>
    </font>
    <font>
      <b val="1"/>
      <color rgb="00FFFFFF"/>
    </font>
    <font>
      <i val="1"/>
      <color rgb="00FFFFFF"/>
      <sz val="9"/>
    </font>
    <font>
      <color rgb="00000000"/>
    </font>
    <font>
      <i val="1"/>
      <color rgb="00595959"/>
      <sz val="9"/>
    </font>
    <font>
      <b val="1"/>
    </font>
    <font>
      <color rgb="00595959"/>
    </font>
    <font>
      <color rgb="00595959"/>
      <sz val="9"/>
    </font>
    <font>
      <b val="1"/>
      <color rgb="00C00000"/>
    </font>
    <font>
      <b val="1"/>
      <color rgb="001F4E79"/>
    </font>
    <font>
      <b val="1"/>
      <color rgb="002E75B6"/>
    </font>
    <font>
      <sz val="9"/>
    </font>
    <font>
      <b val="1"/>
      <color rgb="00C00000"/>
      <sz val="9"/>
    </font>
    <font>
      <b val="1"/>
      <i val="1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DEEAF1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9F9F9"/>
      </patternFill>
    </fill>
    <fill>
      <patternFill patternType="solid">
        <fgColor rgb="00C00000"/>
      </patternFill>
    </fill>
  </fills>
  <borders count="7">
    <border>
      <left/>
      <right/>
      <top/>
      <bottom/>
      <diagonal/>
    </border>
    <border>
      <left/>
      <right/>
      <top/>
      <bottom style="thin"/>
    </border>
    <border>
      <left style="thin"/>
      <right style="thin"/>
      <top style="thin"/>
      <bottom style="thin"/>
    </border>
    <border>
      <left style="thin"/>
      <right/>
      <top style="thin"/>
      <bottom/>
    </border>
    <border>
      <left style="thin"/>
      <right/>
      <top/>
      <bottom/>
    </border>
    <border>
      <left style="thin"/>
      <right style="thin"/>
      <top/>
      <bottom style="thin"/>
    </border>
    <border>
      <left style="thin"/>
      <right/>
      <top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right" vertical="center"/>
    </xf>
    <xf numFmtId="0" fontId="3" fillId="5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left" vertical="top" wrapText="1"/>
    </xf>
    <xf numFmtId="0" fontId="1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164" fontId="6" fillId="6" borderId="0" applyAlignment="1" pivotButton="0" quotePrefix="0" xfId="0">
      <alignment horizontal="right" vertical="center"/>
    </xf>
    <xf numFmtId="0" fontId="7" fillId="0" borderId="0" pivotButton="0" quotePrefix="0" xfId="0"/>
    <xf numFmtId="0" fontId="1" fillId="3" borderId="0" applyAlignment="1" pivotButton="0" quotePrefix="0" xfId="0">
      <alignment horizontal="left" vertical="center"/>
    </xf>
    <xf numFmtId="0" fontId="0" fillId="7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0" fontId="0" fillId="3" borderId="0" pivotButton="0" quotePrefix="0" xfId="0"/>
    <xf numFmtId="0" fontId="9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top" wrapText="1"/>
    </xf>
    <xf numFmtId="2" fontId="9" fillId="7" borderId="2" applyAlignment="1" pivotButton="0" quotePrefix="0" xfId="0">
      <alignment horizontal="center" vertical="center"/>
    </xf>
    <xf numFmtId="2" fontId="5" fillId="8" borderId="2" applyAlignment="1" pivotButton="0" quotePrefix="0" xfId="0">
      <alignment horizontal="center" vertical="center"/>
    </xf>
    <xf numFmtId="0" fontId="5" fillId="9" borderId="3" applyAlignment="1" pivotButton="0" quotePrefix="0" xfId="0">
      <alignment horizontal="left" vertical="center"/>
    </xf>
    <xf numFmtId="164" fontId="5" fillId="8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5" fillId="9" borderId="4" applyAlignment="1" pivotButton="0" quotePrefix="0" xfId="0">
      <alignment horizontal="left" vertical="center"/>
    </xf>
    <xf numFmtId="164" fontId="5" fillId="8" borderId="5" applyAlignment="1" pivotButton="0" quotePrefix="0" xfId="0">
      <alignment horizontal="center" vertical="center"/>
    </xf>
    <xf numFmtId="0" fontId="5" fillId="9" borderId="6" applyAlignment="1" pivotButton="0" quotePrefix="0" xfId="0">
      <alignment horizontal="left" vertical="center"/>
    </xf>
    <xf numFmtId="0" fontId="3" fillId="0" borderId="0" pivotButton="0" quotePrefix="0" xfId="0"/>
    <xf numFmtId="0" fontId="5" fillId="0" borderId="0" pivotButton="0" quotePrefix="0" xfId="0"/>
    <xf numFmtId="0" fontId="8" fillId="10" borderId="0" applyAlignment="1" pivotButton="0" quotePrefix="0" xfId="0">
      <alignment horizontal="left" vertical="center"/>
    </xf>
    <xf numFmtId="0" fontId="7" fillId="11" borderId="0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165" fontId="7" fillId="6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left" vertical="center"/>
    </xf>
    <xf numFmtId="0" fontId="11" fillId="12" borderId="0" applyAlignment="1" pivotButton="0" quotePrefix="0" xfId="0">
      <alignment horizontal="left" vertical="top" wrapText="1"/>
    </xf>
    <xf numFmtId="0" fontId="1" fillId="13" borderId="0" applyAlignment="1" pivotButton="0" quotePrefix="0" xfId="0">
      <alignment horizontal="left" vertical="center"/>
    </xf>
    <xf numFmtId="2" fontId="9" fillId="7" borderId="2" applyAlignment="1" pivotButton="0" quotePrefix="0" xfId="0" applyProtection="1">
      <alignment horizontal="center" vertical="center"/>
      <protection locked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6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0" customHeight="1">
      <c r="A1" s="1" t="inlineStr">
        <is>
          <t>Monthly Returns (%) — Oct 2007 to Sep 2012</t>
        </is>
      </c>
    </row>
    <row r="2">
      <c r="A2" s="2" t="inlineStr"/>
      <c r="B2" s="2" t="inlineStr">
        <is>
          <t>Info Tech</t>
        </is>
      </c>
      <c r="C2" s="2" t="inlineStr">
        <is>
          <t>Health Care</t>
        </is>
      </c>
      <c r="D2" s="2" t="inlineStr">
        <is>
          <t>Cons. Disc.</t>
        </is>
      </c>
      <c r="E2" s="2" t="inlineStr">
        <is>
          <t>Telecom</t>
        </is>
      </c>
      <c r="F2" s="2" t="inlineStr">
        <is>
          <t>Financials</t>
        </is>
      </c>
    </row>
    <row r="3">
      <c r="A3" s="3" t="n"/>
      <c r="B3" s="3" t="n"/>
      <c r="C3" s="3" t="n"/>
      <c r="D3" s="3" t="n"/>
      <c r="E3" s="3" t="n"/>
      <c r="F3" s="3" t="n"/>
    </row>
    <row r="4" ht="18" customHeight="1">
      <c r="A4" s="4" t="inlineStr">
        <is>
          <t>Date</t>
        </is>
      </c>
      <c r="B4" s="4" t="inlineStr">
        <is>
          <t>VGT</t>
        </is>
      </c>
      <c r="C4" s="4" t="inlineStr">
        <is>
          <t>VHT</t>
        </is>
      </c>
      <c r="D4" s="4" t="inlineStr">
        <is>
          <t>VCR</t>
        </is>
      </c>
      <c r="E4" s="4" t="inlineStr">
        <is>
          <t>VOX</t>
        </is>
      </c>
      <c r="F4" s="4" t="inlineStr">
        <is>
          <t>VFH</t>
        </is>
      </c>
    </row>
    <row r="5">
      <c r="A5" s="5" t="inlineStr">
        <is>
          <t>Oct 2007</t>
        </is>
      </c>
      <c r="B5" s="6" t="n">
        <v>6.7656</v>
      </c>
      <c r="C5" s="6" t="n">
        <v>2.0511</v>
      </c>
      <c r="D5" s="6" t="n">
        <v>0.3342</v>
      </c>
      <c r="E5" s="6" t="n">
        <v>-0.9029</v>
      </c>
      <c r="F5" s="6" t="n">
        <v>-0.7267</v>
      </c>
    </row>
    <row r="6">
      <c r="A6" s="7" t="inlineStr">
        <is>
          <t>Nov 2007</t>
        </is>
      </c>
      <c r="B6" s="8" t="n">
        <v>-7.9753</v>
      </c>
      <c r="C6" s="8" t="n">
        <v>0.3669</v>
      </c>
      <c r="D6" s="8" t="n">
        <v>-6.0117</v>
      </c>
      <c r="E6" s="8" t="n">
        <v>-6.985</v>
      </c>
      <c r="F6" s="8" t="n">
        <v>-7.1333</v>
      </c>
    </row>
    <row r="7">
      <c r="A7" s="5" t="inlineStr">
        <is>
          <t>Dec 2007</t>
        </is>
      </c>
      <c r="B7" s="6" t="n">
        <v>0.9741</v>
      </c>
      <c r="C7" s="6" t="n">
        <v>-3.6554</v>
      </c>
      <c r="D7" s="6" t="n">
        <v>-5.776</v>
      </c>
      <c r="E7" s="6" t="n">
        <v>-1.6978</v>
      </c>
      <c r="F7" s="6" t="n">
        <v>-5.5097</v>
      </c>
    </row>
    <row r="8">
      <c r="A8" s="7" t="inlineStr">
        <is>
          <t>Jan 2008</t>
        </is>
      </c>
      <c r="B8" s="8" t="n">
        <v>-12.9404</v>
      </c>
      <c r="C8" s="8" t="n">
        <v>-3.9898</v>
      </c>
      <c r="D8" s="8" t="n">
        <v>-1.4166</v>
      </c>
      <c r="E8" s="8" t="n">
        <v>-8.5304</v>
      </c>
      <c r="F8" s="8" t="n">
        <v>-0.6059</v>
      </c>
    </row>
    <row r="9">
      <c r="A9" s="5" t="inlineStr">
        <is>
          <t>Feb 2008</t>
        </is>
      </c>
      <c r="B9" s="6" t="n">
        <v>-2.9508</v>
      </c>
      <c r="C9" s="6" t="n">
        <v>-2.1588</v>
      </c>
      <c r="D9" s="6" t="n">
        <v>-4.7509</v>
      </c>
      <c r="E9" s="6" t="n">
        <v>-8.3644</v>
      </c>
      <c r="F9" s="6" t="n">
        <v>-9.0121</v>
      </c>
    </row>
    <row r="10">
      <c r="A10" s="7" t="inlineStr">
        <is>
          <t>Mar 2008</t>
        </is>
      </c>
      <c r="B10" s="8" t="n">
        <v>0.3751</v>
      </c>
      <c r="C10" s="8" t="n">
        <v>-4.6086</v>
      </c>
      <c r="D10" s="8" t="n">
        <v>-1.1511</v>
      </c>
      <c r="E10" s="8" t="n">
        <v>0.6834</v>
      </c>
      <c r="F10" s="8" t="n">
        <v>-3.1535</v>
      </c>
    </row>
    <row r="11">
      <c r="A11" s="5" t="inlineStr">
        <is>
          <t>Apr 2008</t>
        </is>
      </c>
      <c r="B11" s="6" t="n">
        <v>7.1794</v>
      </c>
      <c r="C11" s="6" t="n">
        <v>1.455</v>
      </c>
      <c r="D11" s="6" t="n">
        <v>4.4127</v>
      </c>
      <c r="E11" s="6" t="n">
        <v>6.448</v>
      </c>
      <c r="F11" s="6" t="n">
        <v>6.5596</v>
      </c>
    </row>
    <row r="12">
      <c r="A12" s="7" t="inlineStr">
        <is>
          <t>May 2008</t>
        </is>
      </c>
      <c r="B12" s="8" t="n">
        <v>6.3681</v>
      </c>
      <c r="C12" s="8" t="n">
        <v>2.2614</v>
      </c>
      <c r="D12" s="8" t="n">
        <v>0.8804999999999999</v>
      </c>
      <c r="E12" s="8" t="n">
        <v>5.0099</v>
      </c>
      <c r="F12" s="8" t="n">
        <v>-4.6823</v>
      </c>
    </row>
    <row r="13">
      <c r="A13" s="5" t="inlineStr">
        <is>
          <t>Jun 2008</t>
        </is>
      </c>
      <c r="B13" s="6" t="n">
        <v>-8.9717</v>
      </c>
      <c r="C13" s="6" t="n">
        <v>-4.5487</v>
      </c>
      <c r="D13" s="6" t="n">
        <v>-12.6455</v>
      </c>
      <c r="E13" s="6" t="n">
        <v>-10.0188</v>
      </c>
      <c r="F13" s="6" t="n">
        <v>-17.7451</v>
      </c>
    </row>
    <row r="14">
      <c r="A14" s="7" t="inlineStr">
        <is>
          <t>Jul 2008</t>
        </is>
      </c>
      <c r="B14" s="8" t="n">
        <v>-1.3078</v>
      </c>
      <c r="C14" s="8" t="n">
        <v>6.0652</v>
      </c>
      <c r="D14" s="8" t="n">
        <v>0.5107</v>
      </c>
      <c r="E14" s="8" t="n">
        <v>-2.4421</v>
      </c>
      <c r="F14" s="8" t="n">
        <v>8.4503</v>
      </c>
    </row>
    <row r="15">
      <c r="A15" s="5" t="inlineStr">
        <is>
          <t>Aug 2008</t>
        </is>
      </c>
      <c r="B15" s="6" t="n">
        <v>2.6311</v>
      </c>
      <c r="C15" s="6" t="n">
        <v>1.8824</v>
      </c>
      <c r="D15" s="6" t="n">
        <v>6.892</v>
      </c>
      <c r="E15" s="6" t="n">
        <v>2.0751</v>
      </c>
      <c r="F15" s="6" t="n">
        <v>-0.1223</v>
      </c>
    </row>
    <row r="16">
      <c r="A16" s="7" t="inlineStr">
        <is>
          <t>Sep 2008</t>
        </is>
      </c>
      <c r="B16" s="8" t="n">
        <v>-13.1737</v>
      </c>
      <c r="C16" s="8" t="n">
        <v>-6.0485</v>
      </c>
      <c r="D16" s="8" t="n">
        <v>-8.886100000000001</v>
      </c>
      <c r="E16" s="8" t="n">
        <v>-13.9238</v>
      </c>
      <c r="F16" s="8" t="n">
        <v>-3.8433</v>
      </c>
    </row>
    <row r="17">
      <c r="A17" s="5" t="inlineStr">
        <is>
          <t>Oct 2008</t>
        </is>
      </c>
      <c r="B17" s="6" t="n">
        <v>-17.9526</v>
      </c>
      <c r="C17" s="6" t="n">
        <v>-13.0612</v>
      </c>
      <c r="D17" s="6" t="n">
        <v>-20.7303</v>
      </c>
      <c r="E17" s="6" t="n">
        <v>-14.9204</v>
      </c>
      <c r="F17" s="6" t="n">
        <v>-21.07</v>
      </c>
    </row>
    <row r="18">
      <c r="A18" s="7" t="inlineStr">
        <is>
          <t>Nov 2008</t>
        </is>
      </c>
      <c r="B18" s="8" t="n">
        <v>-11.6364</v>
      </c>
      <c r="C18" s="8" t="n">
        <v>-7.7251</v>
      </c>
      <c r="D18" s="8" t="n">
        <v>-11.6738</v>
      </c>
      <c r="E18" s="8" t="n">
        <v>-0.3966</v>
      </c>
      <c r="F18" s="8" t="n">
        <v>-16.1951</v>
      </c>
    </row>
    <row r="19">
      <c r="A19" s="5" t="inlineStr">
        <is>
          <t>Dec 2008</t>
        </is>
      </c>
      <c r="B19" s="6" t="n">
        <v>1.2188</v>
      </c>
      <c r="C19" s="6" t="n">
        <v>5.6891</v>
      </c>
      <c r="D19" s="6" t="n">
        <v>4.4379</v>
      </c>
      <c r="E19" s="6" t="n">
        <v>-0.8626</v>
      </c>
      <c r="F19" s="6" t="n">
        <v>0.4657</v>
      </c>
    </row>
    <row r="20">
      <c r="A20" s="7" t="inlineStr">
        <is>
          <t>Jan 2009</t>
        </is>
      </c>
      <c r="B20" s="8" t="n">
        <v>-2.4548</v>
      </c>
      <c r="C20" s="8" t="n">
        <v>-0.0531</v>
      </c>
      <c r="D20" s="8" t="n">
        <v>-7.9938</v>
      </c>
      <c r="E20" s="8" t="n">
        <v>-3.1117</v>
      </c>
      <c r="F20" s="8" t="n">
        <v>-22.3163</v>
      </c>
    </row>
    <row r="21">
      <c r="A21" s="5" t="inlineStr">
        <is>
          <t>Feb 2009</t>
        </is>
      </c>
      <c r="B21" s="6" t="n">
        <v>-4.0426</v>
      </c>
      <c r="C21" s="6" t="n">
        <v>-11.7988</v>
      </c>
      <c r="D21" s="6" t="n">
        <v>-7.5302</v>
      </c>
      <c r="E21" s="6" t="n">
        <v>-3.2549</v>
      </c>
      <c r="F21" s="6" t="n">
        <v>-16.8857</v>
      </c>
    </row>
    <row r="22">
      <c r="A22" s="7" t="inlineStr">
        <is>
          <t>Mar 2009</t>
        </is>
      </c>
      <c r="B22" s="8" t="n">
        <v>11.5933</v>
      </c>
      <c r="C22" s="8" t="n">
        <v>5.8809</v>
      </c>
      <c r="D22" s="8" t="n">
        <v>12.4766</v>
      </c>
      <c r="E22" s="8" t="n">
        <v>7.2446</v>
      </c>
      <c r="F22" s="8" t="n">
        <v>14.2944</v>
      </c>
    </row>
    <row r="23">
      <c r="A23" s="5" t="inlineStr">
        <is>
          <t>Apr 2009</t>
        </is>
      </c>
      <c r="B23" s="6" t="n">
        <v>12.9435</v>
      </c>
      <c r="C23" s="6" t="n">
        <v>0.8582</v>
      </c>
      <c r="D23" s="6" t="n">
        <v>19.4952</v>
      </c>
      <c r="E23" s="6" t="n">
        <v>7.5795</v>
      </c>
      <c r="F23" s="6" t="n">
        <v>19.5969</v>
      </c>
    </row>
    <row r="24">
      <c r="A24" s="7" t="inlineStr">
        <is>
          <t>May 2009</t>
        </is>
      </c>
      <c r="B24" s="8" t="n">
        <v>2.5886</v>
      </c>
      <c r="C24" s="8" t="n">
        <v>6.3342</v>
      </c>
      <c r="D24" s="8" t="n">
        <v>-0.3058</v>
      </c>
      <c r="E24" s="8" t="n">
        <v>3.576</v>
      </c>
      <c r="F24" s="8" t="n">
        <v>9.509</v>
      </c>
    </row>
    <row r="25">
      <c r="A25" s="5" t="inlineStr">
        <is>
          <t>Jun 2009</t>
        </is>
      </c>
      <c r="B25" s="6" t="n">
        <v>4.3117</v>
      </c>
      <c r="C25" s="6" t="n">
        <v>3.4452</v>
      </c>
      <c r="D25" s="6" t="n">
        <v>0.5576</v>
      </c>
      <c r="E25" s="6" t="n">
        <v>2.1784</v>
      </c>
      <c r="F25" s="6" t="n">
        <v>-1.8345</v>
      </c>
    </row>
    <row r="26">
      <c r="A26" s="7" t="inlineStr">
        <is>
          <t>Jul 2009</t>
        </is>
      </c>
      <c r="B26" s="8" t="n">
        <v>9.2532</v>
      </c>
      <c r="C26" s="8" t="n">
        <v>5.8875</v>
      </c>
      <c r="D26" s="8" t="n">
        <v>10.0915</v>
      </c>
      <c r="E26" s="8" t="n">
        <v>2.3934</v>
      </c>
      <c r="F26" s="8" t="n">
        <v>9.5021</v>
      </c>
    </row>
    <row r="27">
      <c r="A27" s="5" t="inlineStr">
        <is>
          <t>Aug 2009</t>
        </is>
      </c>
      <c r="B27" s="6" t="n">
        <v>2.515</v>
      </c>
      <c r="C27" s="6" t="n">
        <v>2.1307</v>
      </c>
      <c r="D27" s="6" t="n">
        <v>4.1551</v>
      </c>
      <c r="E27" s="6" t="n">
        <v>-0.8643</v>
      </c>
      <c r="F27" s="6" t="n">
        <v>12.0473</v>
      </c>
    </row>
    <row r="28">
      <c r="A28" s="7" t="inlineStr">
        <is>
          <t>Sep 2009</t>
        </is>
      </c>
      <c r="B28" s="8" t="n">
        <v>4.6341</v>
      </c>
      <c r="C28" s="8" t="n">
        <v>2.0266</v>
      </c>
      <c r="D28" s="8" t="n">
        <v>5.6819</v>
      </c>
      <c r="E28" s="8" t="n">
        <v>8.1038</v>
      </c>
      <c r="F28" s="8" t="n">
        <v>1.5992</v>
      </c>
    </row>
    <row r="29">
      <c r="A29" s="5" t="inlineStr">
        <is>
          <t>Oct 2009</t>
        </is>
      </c>
      <c r="B29" s="6" t="n">
        <v>-1.1824</v>
      </c>
      <c r="C29" s="6" t="n">
        <v>-2.999</v>
      </c>
      <c r="D29" s="6" t="n">
        <v>-3.1343</v>
      </c>
      <c r="E29" s="6" t="n">
        <v>-6.9832</v>
      </c>
      <c r="F29" s="6" t="n">
        <v>-5.3407</v>
      </c>
    </row>
    <row r="30">
      <c r="A30" s="7" t="inlineStr">
        <is>
          <t>Nov 2009</t>
        </is>
      </c>
      <c r="B30" s="8" t="n">
        <v>5.2322</v>
      </c>
      <c r="C30" s="8" t="n">
        <v>8.753299999999999</v>
      </c>
      <c r="D30" s="8" t="n">
        <v>6.2825</v>
      </c>
      <c r="E30" s="8" t="n">
        <v>6.0887</v>
      </c>
      <c r="F30" s="8" t="n">
        <v>3.9432</v>
      </c>
    </row>
    <row r="31">
      <c r="A31" s="5" t="inlineStr">
        <is>
          <t>Dec 2009</t>
        </is>
      </c>
      <c r="B31" s="6" t="n">
        <v>5.7429</v>
      </c>
      <c r="C31" s="6" t="n">
        <v>0.0369</v>
      </c>
      <c r="D31" s="6" t="n">
        <v>3.9333</v>
      </c>
      <c r="E31" s="6" t="n">
        <v>4.9591</v>
      </c>
      <c r="F31" s="6" t="n">
        <v>-0.7519</v>
      </c>
    </row>
    <row r="32">
      <c r="A32" s="7" t="inlineStr">
        <is>
          <t>Jan 2010</t>
        </is>
      </c>
      <c r="B32" s="8" t="n">
        <v>-7.7582</v>
      </c>
      <c r="C32" s="8" t="n">
        <v>3.1714</v>
      </c>
      <c r="D32" s="8" t="n">
        <v>-1.6146</v>
      </c>
      <c r="E32" s="8" t="n">
        <v>-5.2564</v>
      </c>
      <c r="F32" s="8" t="n">
        <v>-0.2377</v>
      </c>
    </row>
    <row r="33">
      <c r="A33" s="5" t="inlineStr">
        <is>
          <t>Feb 2010</t>
        </is>
      </c>
      <c r="B33" s="6" t="n">
        <v>4.5058</v>
      </c>
      <c r="C33" s="6" t="n">
        <v>0.5329</v>
      </c>
      <c r="D33" s="6" t="n">
        <v>5.9224</v>
      </c>
      <c r="E33" s="6" t="n">
        <v>1.1893</v>
      </c>
      <c r="F33" s="6" t="n">
        <v>3.5094</v>
      </c>
    </row>
    <row r="34">
      <c r="A34" s="7" t="inlineStr">
        <is>
          <t>Mar 2010</t>
        </is>
      </c>
      <c r="B34" s="8" t="n">
        <v>6.7046</v>
      </c>
      <c r="C34" s="8" t="n">
        <v>3.6191</v>
      </c>
      <c r="D34" s="8" t="n">
        <v>8.407500000000001</v>
      </c>
      <c r="E34" s="8" t="n">
        <v>6.5592</v>
      </c>
      <c r="F34" s="8" t="n">
        <v>8.862</v>
      </c>
    </row>
    <row r="35">
      <c r="A35" s="5" t="inlineStr">
        <is>
          <t>Apr 2010</t>
        </is>
      </c>
      <c r="B35" s="6" t="n">
        <v>2.2072</v>
      </c>
      <c r="C35" s="6" t="n">
        <v>-2.7165</v>
      </c>
      <c r="D35" s="6" t="n">
        <v>6.2847</v>
      </c>
      <c r="E35" s="6" t="n">
        <v>0.8006</v>
      </c>
      <c r="F35" s="6" t="n">
        <v>2.4722</v>
      </c>
    </row>
    <row r="36">
      <c r="A36" s="7" t="inlineStr">
        <is>
          <t>May 2010</t>
        </is>
      </c>
      <c r="B36" s="8" t="n">
        <v>-7.9937</v>
      </c>
      <c r="C36" s="8" t="n">
        <v>-6.9266</v>
      </c>
      <c r="D36" s="8" t="n">
        <v>-7.1891</v>
      </c>
      <c r="E36" s="8" t="n">
        <v>-4.4476</v>
      </c>
      <c r="F36" s="8" t="n">
        <v>-8.8253</v>
      </c>
    </row>
    <row r="37">
      <c r="A37" s="5" t="inlineStr">
        <is>
          <t>Jun 2010</t>
        </is>
      </c>
      <c r="B37" s="6" t="n">
        <v>-6.379</v>
      </c>
      <c r="C37" s="6" t="n">
        <v>-2.1235</v>
      </c>
      <c r="D37" s="6" t="n">
        <v>-10.0504</v>
      </c>
      <c r="E37" s="6" t="n">
        <v>-1.9579</v>
      </c>
      <c r="F37" s="6" t="n">
        <v>-6.7724</v>
      </c>
    </row>
    <row r="38">
      <c r="A38" s="7" t="inlineStr">
        <is>
          <t>Jul 2010</t>
        </is>
      </c>
      <c r="B38" s="8" t="n">
        <v>7.1977</v>
      </c>
      <c r="C38" s="8" t="n">
        <v>0.9752999999999999</v>
      </c>
      <c r="D38" s="8" t="n">
        <v>8.030099999999999</v>
      </c>
      <c r="E38" s="8" t="n">
        <v>9.1371</v>
      </c>
      <c r="F38" s="8" t="n">
        <v>7.3231</v>
      </c>
    </row>
    <row r="39">
      <c r="A39" s="5" t="inlineStr">
        <is>
          <t>Aug 2010</t>
        </is>
      </c>
      <c r="B39" s="6" t="n">
        <v>-6.9219</v>
      </c>
      <c r="C39" s="6" t="n">
        <v>-2.0501</v>
      </c>
      <c r="D39" s="6" t="n">
        <v>-4.7828</v>
      </c>
      <c r="E39" s="6" t="n">
        <v>-1.0357</v>
      </c>
      <c r="F39" s="6" t="n">
        <v>-7.5878</v>
      </c>
    </row>
    <row r="40">
      <c r="A40" s="7" t="inlineStr">
        <is>
          <t>Sep 2010</t>
        </is>
      </c>
      <c r="B40" s="8" t="n">
        <v>12.6647</v>
      </c>
      <c r="C40" s="8" t="n">
        <v>9.740399999999999</v>
      </c>
      <c r="D40" s="8" t="n">
        <v>12.4319</v>
      </c>
      <c r="E40" s="8" t="n">
        <v>9.471399999999999</v>
      </c>
      <c r="F40" s="8" t="n">
        <v>6.2029</v>
      </c>
    </row>
    <row r="41">
      <c r="A41" s="5" t="inlineStr">
        <is>
          <t>Oct 2010</t>
        </is>
      </c>
      <c r="B41" s="6" t="n">
        <v>6.4029</v>
      </c>
      <c r="C41" s="6" t="n">
        <v>1.9256</v>
      </c>
      <c r="D41" s="6" t="n">
        <v>5.417</v>
      </c>
      <c r="E41" s="6" t="n">
        <v>1.1313</v>
      </c>
      <c r="F41" s="6" t="n">
        <v>2.3011</v>
      </c>
    </row>
    <row r="42">
      <c r="A42" s="7" t="inlineStr">
        <is>
          <t>Nov 2010</t>
        </is>
      </c>
      <c r="B42" s="8" t="n">
        <v>-0.9466</v>
      </c>
      <c r="C42" s="8" t="n">
        <v>-2.303</v>
      </c>
      <c r="D42" s="8" t="n">
        <v>3.2845</v>
      </c>
      <c r="E42" s="8" t="n">
        <v>-0.709</v>
      </c>
      <c r="F42" s="8" t="n">
        <v>-0.8280999999999999</v>
      </c>
    </row>
    <row r="43">
      <c r="A43" s="5" t="inlineStr">
        <is>
          <t>Dec 2010</t>
        </is>
      </c>
      <c r="B43" s="6" t="n">
        <v>4.9829</v>
      </c>
      <c r="C43" s="6" t="n">
        <v>3.5912</v>
      </c>
      <c r="D43" s="6" t="n">
        <v>3.3852</v>
      </c>
      <c r="E43" s="6" t="n">
        <v>4.1416</v>
      </c>
      <c r="F43" s="6" t="n">
        <v>9.819699999999999</v>
      </c>
    </row>
    <row r="44">
      <c r="A44" s="7" t="inlineStr">
        <is>
          <t>Jan 2011</t>
        </is>
      </c>
      <c r="B44" s="8" t="n">
        <v>4.5433</v>
      </c>
      <c r="C44" s="8" t="n">
        <v>2.5453</v>
      </c>
      <c r="D44" s="8" t="n">
        <v>0.0166</v>
      </c>
      <c r="E44" s="8" t="n">
        <v>1.2467</v>
      </c>
      <c r="F44" s="8" t="n">
        <v>2.9977</v>
      </c>
    </row>
    <row r="45">
      <c r="A45" s="5" t="inlineStr">
        <is>
          <t>Feb 2011</t>
        </is>
      </c>
      <c r="B45" s="6" t="n">
        <v>2.4398</v>
      </c>
      <c r="C45" s="6" t="n">
        <v>3.4744</v>
      </c>
      <c r="D45" s="6" t="n">
        <v>5.5602</v>
      </c>
      <c r="E45" s="6" t="n">
        <v>2.4009</v>
      </c>
      <c r="F45" s="6" t="n">
        <v>2.8512</v>
      </c>
    </row>
    <row r="46">
      <c r="A46" s="7" t="inlineStr">
        <is>
          <t>Mar 2011</t>
        </is>
      </c>
      <c r="B46" s="8" t="n">
        <v>-1.9389</v>
      </c>
      <c r="C46" s="8" t="n">
        <v>2.3351</v>
      </c>
      <c r="D46" s="8" t="n">
        <v>-0.1265</v>
      </c>
      <c r="E46" s="8" t="n">
        <v>3.7211</v>
      </c>
      <c r="F46" s="8" t="n">
        <v>-2.1369</v>
      </c>
    </row>
    <row r="47">
      <c r="A47" s="5" t="inlineStr">
        <is>
          <t>Apr 2011</t>
        </is>
      </c>
      <c r="B47" s="6" t="n">
        <v>3.0515</v>
      </c>
      <c r="C47" s="6" t="n">
        <v>6.4124</v>
      </c>
      <c r="D47" s="6" t="n">
        <v>4.0228</v>
      </c>
      <c r="E47" s="6" t="n">
        <v>2.1</v>
      </c>
      <c r="F47" s="6" t="n">
        <v>0.8073</v>
      </c>
    </row>
    <row r="48">
      <c r="A48" s="7" t="inlineStr">
        <is>
          <t>May 2011</t>
        </is>
      </c>
      <c r="B48" s="8" t="n">
        <v>-1.813</v>
      </c>
      <c r="C48" s="8" t="n">
        <v>1.9408</v>
      </c>
      <c r="D48" s="8" t="n">
        <v>-0.2588</v>
      </c>
      <c r="E48" s="8" t="n">
        <v>3.6995</v>
      </c>
      <c r="F48" s="8" t="n">
        <v>-2.7249</v>
      </c>
    </row>
    <row r="49">
      <c r="A49" s="5" t="inlineStr">
        <is>
          <t>Jun 2011</t>
        </is>
      </c>
      <c r="B49" s="6" t="n">
        <v>-2.5234</v>
      </c>
      <c r="C49" s="6" t="n">
        <v>-1.5047</v>
      </c>
      <c r="D49" s="6" t="n">
        <v>-0.1527</v>
      </c>
      <c r="E49" s="6" t="n">
        <v>-1.8457</v>
      </c>
      <c r="F49" s="6" t="n">
        <v>-3.2831</v>
      </c>
    </row>
    <row r="50">
      <c r="A50" s="7" t="inlineStr">
        <is>
          <t>Jul 2011</t>
        </is>
      </c>
      <c r="B50" s="8" t="n">
        <v>-0.1421</v>
      </c>
      <c r="C50" s="8" t="n">
        <v>-3.8971</v>
      </c>
      <c r="D50" s="8" t="n">
        <v>-1.8499</v>
      </c>
      <c r="E50" s="8" t="n">
        <v>-5.6974</v>
      </c>
      <c r="F50" s="8" t="n">
        <v>-2.7975</v>
      </c>
    </row>
    <row r="51">
      <c r="A51" s="5" t="inlineStr">
        <is>
          <t>Aug 2011</t>
        </is>
      </c>
      <c r="B51" s="6" t="n">
        <v>-6.418</v>
      </c>
      <c r="C51" s="6" t="n">
        <v>-3.3414</v>
      </c>
      <c r="D51" s="6" t="n">
        <v>-6.0747</v>
      </c>
      <c r="E51" s="6" t="n">
        <v>-3.0506</v>
      </c>
      <c r="F51" s="6" t="n">
        <v>-9.047000000000001</v>
      </c>
    </row>
    <row r="52">
      <c r="A52" s="7" t="inlineStr">
        <is>
          <t>Sep 2011</t>
        </is>
      </c>
      <c r="B52" s="8" t="n">
        <v>-4.1216</v>
      </c>
      <c r="C52" s="8" t="n">
        <v>-4.8666</v>
      </c>
      <c r="D52" s="8" t="n">
        <v>-7.5291</v>
      </c>
      <c r="E52" s="8" t="n">
        <v>-6.8611</v>
      </c>
      <c r="F52" s="8" t="n">
        <v>-11.7876</v>
      </c>
    </row>
    <row r="53">
      <c r="A53" s="5" t="inlineStr">
        <is>
          <t>Oct 2011</t>
        </is>
      </c>
      <c r="B53" s="6" t="n">
        <v>12.2797</v>
      </c>
      <c r="C53" s="6" t="n">
        <v>6.0152</v>
      </c>
      <c r="D53" s="6" t="n">
        <v>12.9663</v>
      </c>
      <c r="E53" s="6" t="n">
        <v>4.2024</v>
      </c>
      <c r="F53" s="6" t="n">
        <v>14.56</v>
      </c>
    </row>
    <row r="54">
      <c r="A54" s="7" t="inlineStr">
        <is>
          <t>Nov 2011</t>
        </is>
      </c>
      <c r="B54" s="8" t="n">
        <v>-1.9928</v>
      </c>
      <c r="C54" s="8" t="n">
        <v>0.9318</v>
      </c>
      <c r="D54" s="8" t="n">
        <v>-1.397</v>
      </c>
      <c r="E54" s="8" t="n">
        <v>0.0949</v>
      </c>
      <c r="F54" s="8" t="n">
        <v>-4.2651</v>
      </c>
    </row>
    <row r="55">
      <c r="A55" s="5" t="inlineStr">
        <is>
          <t>Dec 2011</t>
        </is>
      </c>
      <c r="B55" s="6" t="n">
        <v>-1.7451</v>
      </c>
      <c r="C55" s="6" t="n">
        <v>0.9067</v>
      </c>
      <c r="D55" s="6" t="n">
        <v>-0.483</v>
      </c>
      <c r="E55" s="6" t="n">
        <v>-1.7696</v>
      </c>
      <c r="F55" s="6" t="n">
        <v>1.6937</v>
      </c>
    </row>
    <row r="56">
      <c r="A56" s="7" t="inlineStr">
        <is>
          <t>Jan 2012</t>
        </is>
      </c>
      <c r="B56" s="8" t="n">
        <v>8.7697</v>
      </c>
      <c r="C56" s="8" t="n">
        <v>5.9835</v>
      </c>
      <c r="D56" s="8" t="n">
        <v>7.9609</v>
      </c>
      <c r="E56" s="8" t="n">
        <v>2.2092</v>
      </c>
      <c r="F56" s="8" t="n">
        <v>8.4542</v>
      </c>
    </row>
    <row r="57">
      <c r="A57" s="5" t="inlineStr">
        <is>
          <t>Feb 2012</t>
        </is>
      </c>
      <c r="B57" s="6" t="n">
        <v>6.9757</v>
      </c>
      <c r="C57" s="6" t="n">
        <v>1.6782</v>
      </c>
      <c r="D57" s="6" t="n">
        <v>5.3639</v>
      </c>
      <c r="E57" s="6" t="n">
        <v>4.5839</v>
      </c>
      <c r="F57" s="6" t="n">
        <v>4.3742</v>
      </c>
    </row>
    <row r="58">
      <c r="A58" s="7" t="inlineStr">
        <is>
          <t>Mar 2012</t>
        </is>
      </c>
      <c r="B58" s="8" t="n">
        <v>4.7</v>
      </c>
      <c r="C58" s="8" t="n">
        <v>4.2264</v>
      </c>
      <c r="D58" s="8" t="n">
        <v>4.1246</v>
      </c>
      <c r="E58" s="8" t="n">
        <v>1.0413</v>
      </c>
      <c r="F58" s="8" t="n">
        <v>6.2863</v>
      </c>
    </row>
    <row r="59">
      <c r="A59" s="5" t="inlineStr">
        <is>
          <t>Apr 2012</t>
        </is>
      </c>
      <c r="B59" s="6" t="n">
        <v>-1.9951</v>
      </c>
      <c r="C59" s="6" t="n">
        <v>-0.3996</v>
      </c>
      <c r="D59" s="6" t="n">
        <v>0.7202</v>
      </c>
      <c r="E59" s="6" t="n">
        <v>-0.3692</v>
      </c>
      <c r="F59" s="6" t="n">
        <v>-1.4817</v>
      </c>
    </row>
    <row r="60">
      <c r="A60" s="7" t="inlineStr">
        <is>
          <t>May 2012</t>
        </is>
      </c>
      <c r="B60" s="8" t="n">
        <v>-8.1843</v>
      </c>
      <c r="C60" s="8" t="n">
        <v>-3.3432</v>
      </c>
      <c r="D60" s="8" t="n">
        <v>-5.9269</v>
      </c>
      <c r="E60" s="8" t="n">
        <v>-0.9418</v>
      </c>
      <c r="F60" s="8" t="n">
        <v>-8.1381</v>
      </c>
    </row>
    <row r="61">
      <c r="A61" s="5" t="inlineStr">
        <is>
          <t>Jun 2012</t>
        </is>
      </c>
      <c r="B61" s="6" t="n">
        <v>2.9663</v>
      </c>
      <c r="C61" s="6" t="n">
        <v>5.9031</v>
      </c>
      <c r="D61" s="6" t="n">
        <v>1.3595</v>
      </c>
      <c r="E61" s="6" t="n">
        <v>5.6889</v>
      </c>
      <c r="F61" s="6" t="n">
        <v>4.2282</v>
      </c>
    </row>
    <row r="62">
      <c r="A62" s="7" t="inlineStr">
        <is>
          <t>Jul 2012</t>
        </is>
      </c>
      <c r="B62" s="8" t="n">
        <v>0.5238</v>
      </c>
      <c r="C62" s="8" t="n">
        <v>0.6242</v>
      </c>
      <c r="D62" s="8" t="n">
        <v>-0.1153</v>
      </c>
      <c r="E62" s="8" t="n">
        <v>4.4978</v>
      </c>
      <c r="F62" s="8" t="n">
        <v>0.7596000000000001</v>
      </c>
    </row>
    <row r="63">
      <c r="A63" s="5" t="inlineStr">
        <is>
          <t>Aug 2012</t>
        </is>
      </c>
      <c r="B63" s="6" t="n">
        <v>5.1237</v>
      </c>
      <c r="C63" s="6" t="n">
        <v>1.6734</v>
      </c>
      <c r="D63" s="6" t="n">
        <v>4.9668</v>
      </c>
      <c r="E63" s="6" t="n">
        <v>-0.0423</v>
      </c>
      <c r="F63" s="6" t="n">
        <v>3.0868</v>
      </c>
    </row>
    <row r="64">
      <c r="A64" s="7" t="inlineStr">
        <is>
          <t>Sep 2012</t>
        </is>
      </c>
      <c r="B64" s="8" t="n">
        <v>1.0602</v>
      </c>
      <c r="C64" s="8" t="n">
        <v>3.8734</v>
      </c>
      <c r="D64" s="8" t="n">
        <v>3.1362</v>
      </c>
      <c r="E64" s="8" t="n">
        <v>5.9579</v>
      </c>
      <c r="F64" s="8" t="n">
        <v>2.1834</v>
      </c>
    </row>
  </sheetData>
  <sheetProtection sheet="1" objects="1" scenarios="1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8" customWidth="1" min="7" max="7"/>
  </cols>
  <sheetData>
    <row r="1" ht="22" customHeight="1">
      <c r="A1" s="1" t="inlineStr">
        <is>
          <t>PART 1 — Statistical Analysis</t>
        </is>
      </c>
    </row>
    <row r="2" ht="28" customHeight="1">
      <c r="A2" s="9" t="inlineStr">
        <is>
          <t>Use Excel functions AVERAGE, STDEV.S, and CORREL on the Returns sheet (rows 5:64) to answer Questions 1a, 1b, and 1c.</t>
        </is>
      </c>
    </row>
    <row r="3" ht="6" customHeight="1"/>
    <row r="4" ht="18" customHeight="1">
      <c r="A4" s="10" t="inlineStr">
        <is>
          <t>Metric</t>
        </is>
      </c>
      <c r="B4" s="10" t="inlineStr">
        <is>
          <t>VGT</t>
        </is>
      </c>
      <c r="C4" s="10" t="inlineStr">
        <is>
          <t>VHT</t>
        </is>
      </c>
      <c r="D4" s="10" t="inlineStr">
        <is>
          <t>VCR</t>
        </is>
      </c>
      <c r="E4" s="10" t="inlineStr">
        <is>
          <t>VOX</t>
        </is>
      </c>
      <c r="F4" s="10" t="inlineStr">
        <is>
          <t>VFH</t>
        </is>
      </c>
      <c r="G4" s="10" t="inlineStr">
        <is>
          <t>Notes</t>
        </is>
      </c>
    </row>
    <row r="5">
      <c r="A5" s="11" t="inlineStr">
        <is>
          <t>Mean monthly return  μ  (%)</t>
        </is>
      </c>
      <c r="G5" s="13" t="inlineStr">
        <is>
          <t>← Pre-computed. Do NOT edit.</t>
        </is>
      </c>
    </row>
    <row r="6">
      <c r="A6" s="11" t="inlineStr">
        <is>
          <t>Std Dev  σ  (%)</t>
        </is>
      </c>
      <c r="G6" s="13" t="inlineStr">
        <is>
          <t>← Pre-computed. Do NOT edit.</t>
        </is>
      </c>
    </row>
    <row r="7" ht="8" customHeight="1"/>
    <row r="8" ht="18" customHeight="1">
      <c r="A8" s="14" t="inlineStr">
        <is>
          <t>Part 1 Answers (enter your answers on the Minicase website)</t>
        </is>
      </c>
    </row>
    <row r="9">
      <c r="A9" s="11" t="inlineStr">
        <is>
          <t>Q1a</t>
        </is>
      </c>
      <c r="B9" s="15" t="inlineStr"/>
      <c r="G9" s="13" t="inlineStr">
        <is>
          <t>← Identify ETF with highest μ from row 5 above</t>
        </is>
      </c>
    </row>
    <row r="10">
      <c r="A10" s="11" t="inlineStr">
        <is>
          <t>Q1b</t>
        </is>
      </c>
      <c r="B10" s="15" t="inlineStr"/>
      <c r="G10" s="13" t="inlineStr">
        <is>
          <t>← Enter the σ value (4 decimal places) from row 6 above</t>
        </is>
      </c>
    </row>
    <row r="11" ht="20" customHeight="1">
      <c r="A11" s="11" t="inlineStr">
        <is>
          <t>Q1c — YOU complete this formula →</t>
        </is>
      </c>
      <c r="B11" s="16">
        <f>CORREL(Returns!??5:??64, Returns!??5:??64)</f>
        <v/>
      </c>
      <c r="G11" s="13" t="inlineStr">
        <is>
          <t>← Q1c: Complete the CORREL formula — replace each ?? with the column letter of your Q1a ETF (1st ??) and Q1b ETF (2nd ??)</t>
        </is>
      </c>
    </row>
    <row r="12" ht="8" customHeight="1"/>
    <row r="13" ht="18" customHeight="1">
      <c r="A13" s="17" t="inlineStr">
        <is>
          <t>💡  EXCEL TIPS</t>
        </is>
      </c>
    </row>
    <row r="14" ht="20" customHeight="1">
      <c r="A14" s="18" t="inlineStr">
        <is>
          <t>Q1a</t>
        </is>
      </c>
      <c r="B14" s="19" t="inlineStr">
        <is>
          <t>Look at row 5 (Mean μ). The ETF with the LARGEST value is the answer.</t>
        </is>
      </c>
    </row>
    <row r="15" ht="20" customHeight="1">
      <c r="A15" s="18" t="inlineStr">
        <is>
          <t>Q1b</t>
        </is>
      </c>
      <c r="B15" s="19" t="inlineStr">
        <is>
          <t>Look at row 6 (Std Dev σ). The ETF with the SMALLEST value is the answer.</t>
        </is>
      </c>
    </row>
    <row r="16" ht="30" customHeight="1">
      <c r="A16" s="18" t="inlineStr">
        <is>
          <t>Q1c</t>
        </is>
      </c>
      <c r="B16" s="19" t="inlineStr">
        <is>
          <t>Replace the two ?? pairs with the column letters of your Q1a and Q1b ETFs.
Example: if Q1a = VGT (col B) and Q1b = VHT (col C), type:
=CORREL(Returns!B5:B64, Returns!C5:C64)</t>
        </is>
      </c>
    </row>
  </sheetData>
  <mergeCells count="10">
    <mergeCell ref="A13:G13"/>
    <mergeCell ref="B16:G16"/>
    <mergeCell ref="A1:G1"/>
    <mergeCell ref="A8:G8"/>
    <mergeCell ref="B14:G14"/>
    <mergeCell ref="B10:F10"/>
    <mergeCell ref="B11:F11"/>
    <mergeCell ref="A2:G2"/>
    <mergeCell ref="B15:G15"/>
    <mergeCell ref="B9:F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H6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6" customWidth="1" min="7" max="7"/>
    <col width="35" customWidth="1" min="8" max="8"/>
  </cols>
  <sheetData>
    <row r="1" ht="22" customHeight="1">
      <c r="A1" s="1" t="inlineStr">
        <is>
          <t>PORTFOLIO OPTIMIZER  —  Oct 2007 to Sep 2012</t>
        </is>
      </c>
    </row>
    <row r="2" ht="24" customHeight="1">
      <c r="A2" s="9" t="inlineStr">
        <is>
          <t>Change the BLUE weight cells (row 12) and use Excel Solver (Data → Solver) following the step-by-step instructions below.</t>
        </is>
      </c>
    </row>
    <row r="3" ht="8" customHeight="1"/>
    <row r="4" ht="18" customHeight="1">
      <c r="A4" s="20" t="inlineStr"/>
      <c r="B4" s="10" t="inlineStr">
        <is>
          <t>VGT</t>
        </is>
      </c>
      <c r="C4" s="10" t="inlineStr">
        <is>
          <t>VHT</t>
        </is>
      </c>
      <c r="D4" s="10" t="inlineStr">
        <is>
          <t>VCR</t>
        </is>
      </c>
      <c r="E4" s="10" t="inlineStr">
        <is>
          <t>VOX</t>
        </is>
      </c>
      <c r="F4" s="10" t="inlineStr">
        <is>
          <t>VFH</t>
        </is>
      </c>
      <c r="G4" s="10" t="inlineStr">
        <is>
          <t>Sum</t>
        </is>
      </c>
      <c r="H4" s="20" t="n"/>
    </row>
    <row r="5">
      <c r="A5" s="11" t="inlineStr">
        <is>
          <t>Mean monthly return  μ  (%)</t>
        </is>
      </c>
      <c r="B5" s="12">
        <f>Stats!B5</f>
        <v/>
      </c>
      <c r="C5" s="12">
        <f>Stats!C5</f>
        <v/>
      </c>
      <c r="D5" s="12">
        <f>Stats!D5</f>
        <v/>
      </c>
      <c r="E5" s="12">
        <f>Stats!E5</f>
        <v/>
      </c>
      <c r="F5" s="12">
        <f>Stats!F5</f>
        <v/>
      </c>
      <c r="H5" s="13" t="inlineStr">
        <is>
          <t>← from Stats sheet (do not edit)</t>
        </is>
      </c>
    </row>
    <row r="6">
      <c r="A6" s="11" t="inlineStr">
        <is>
          <t>Std Dev  σ  (%)</t>
        </is>
      </c>
      <c r="B6" s="12">
        <f>Stats!B6</f>
        <v/>
      </c>
      <c r="C6" s="12">
        <f>Stats!C6</f>
        <v/>
      </c>
      <c r="D6" s="12">
        <f>Stats!D6</f>
        <v/>
      </c>
      <c r="E6" s="12">
        <f>Stats!E6</f>
        <v/>
      </c>
      <c r="F6" s="12">
        <f>Stats!F6</f>
        <v/>
      </c>
      <c r="H6" s="13" t="inlineStr">
        <is>
          <t>← from Stats sheet (do not edit)</t>
        </is>
      </c>
    </row>
    <row r="7" ht="8" customHeight="1"/>
    <row r="8" ht="18" customHeight="1">
      <c r="A8" s="14" t="inlineStr">
        <is>
          <t>DECISION VARIABLES — Portfolio Weights  (must sum to 1; short allowed: min −20%, max 120%)</t>
        </is>
      </c>
    </row>
    <row r="9">
      <c r="A9" s="11" t="inlineStr">
        <is>
          <t>Weight  w  (%)</t>
        </is>
      </c>
      <c r="B9" s="21" t="inlineStr">
        <is>
          <t>VGT</t>
        </is>
      </c>
      <c r="C9" s="21" t="inlineStr">
        <is>
          <t>VHT</t>
        </is>
      </c>
      <c r="D9" s="21" t="inlineStr">
        <is>
          <t>VCR</t>
        </is>
      </c>
      <c r="E9" s="21" t="inlineStr">
        <is>
          <t>VOX</t>
        </is>
      </c>
      <c r="F9" s="21" t="inlineStr">
        <is>
          <t>VFH</t>
        </is>
      </c>
      <c r="G9" s="21" t="inlineStr">
        <is>
          <t>Sum = 1</t>
        </is>
      </c>
    </row>
    <row r="10" ht="6" customHeight="1"/>
    <row r="11" ht="20" customHeight="1">
      <c r="A11" s="22" t="inlineStr">
        <is>
          <t>→  Change these blue cells</t>
        </is>
      </c>
      <c r="B11" s="41" t="n">
        <v>0.2</v>
      </c>
      <c r="C11" s="41" t="n">
        <v>0.2</v>
      </c>
      <c r="D11" s="41" t="n">
        <v>0.2</v>
      </c>
      <c r="E11" s="41" t="n">
        <v>0.2</v>
      </c>
      <c r="F11" s="41" t="n">
        <v>0.2</v>
      </c>
      <c r="G11" s="23">
        <f>SUM(B11:F11)</f>
        <v>1</v>
      </c>
    </row>
    <row r="13" ht="8" customHeight="1"/>
    <row r="14">
      <c r="A14" s="25" t="inlineStr">
        <is>
          <t>Portfolio Return  Rp  (%)</t>
        </is>
      </c>
      <c r="B14" s="26">
        <f>SUMPRODUCT(B11:F11,B5:F5)</f>
        <v/>
      </c>
      <c r="C14" s="27" t="inlineStr">
        <is>
          <t>← Weighted-average of ETF mean returns</t>
        </is>
      </c>
    </row>
    <row r="15">
      <c r="A15" s="28" t="inlineStr">
        <is>
          <t>Portfolio Risk  σp  (%)</t>
        </is>
      </c>
      <c r="B15" s="29">
        <f>SQRT(B11*(B11*B30+C11*C30+D11*D30+E11*E30+F11*F30)+C11*(B11*B31+C11*C31+D11*D31+E11*E31+F11*F31)+D11*(B11*B32+C11*C32+D11*D32+E11*E32+F11*F32)+E11*(B11*B33+C11*C33+D11*D33+E11*E33+F11*F33)+F11*(B11*B34+C11*C34+D11*D34+E11*E34+F11*F34))</f>
        <v/>
      </c>
      <c r="C15" s="27" t="inlineStr">
        <is>
          <t>← Square root of portfolio variance (uses VarCov matrix below)</t>
        </is>
      </c>
    </row>
    <row r="16">
      <c r="A16" s="30" t="inlineStr">
        <is>
          <t>Sharpe Ratio  S  (monthly)</t>
        </is>
      </c>
      <c r="B16" s="29">
        <f>(B14-0.375)/B15</f>
        <v/>
      </c>
      <c r="C16" s="27" t="inlineStr">
        <is>
          <t>← (Portfolio Return − Rf) / Portfolio Risk;  Rf = 0.375% / month</t>
        </is>
      </c>
    </row>
    <row r="17" ht="8" customHeight="1"/>
    <row r="18" ht="18" customHeight="1">
      <c r="A18" s="14" t="inlineStr">
        <is>
          <t>CONSTRAINTS SUMMARY  (for reference — Solver will enforce these)</t>
        </is>
      </c>
    </row>
    <row r="19">
      <c r="A19" s="21" t="inlineStr">
        <is>
          <t>C1</t>
        </is>
      </c>
      <c r="B19" s="31" t="inlineStr">
        <is>
          <t>Budget constraint</t>
        </is>
      </c>
      <c r="C19" s="32" t="inlineStr">
        <is>
          <t>SUM(B11:F11) = 1</t>
        </is>
      </c>
      <c r="F19" s="13" t="inlineStr">
        <is>
          <t>Weights must sum to 1</t>
        </is>
      </c>
    </row>
    <row r="20">
      <c r="A20" s="21" t="inlineStr">
        <is>
          <t>C2</t>
        </is>
      </c>
      <c r="B20" s="31" t="inlineStr">
        <is>
          <t>Short-sale floor</t>
        </is>
      </c>
      <c r="C20" s="32" t="inlineStr">
        <is>
          <t>Each weight ≥ −0.20</t>
        </is>
      </c>
      <c r="F20" s="13" t="inlineStr">
        <is>
          <t>Max short position: −20%</t>
        </is>
      </c>
    </row>
    <row r="21">
      <c r="A21" s="21" t="inlineStr">
        <is>
          <t>C3</t>
        </is>
      </c>
      <c r="B21" s="31" t="inlineStr">
        <is>
          <t>Long-position cap</t>
        </is>
      </c>
      <c r="C21" s="32" t="inlineStr">
        <is>
          <t>Each weight ≤  1.20</t>
        </is>
      </c>
      <c r="F21" s="13" t="inlineStr">
        <is>
          <t>Max long position: 120%</t>
        </is>
      </c>
    </row>
    <row r="22">
      <c r="A22" s="21" t="inlineStr">
        <is>
          <t>C4</t>
        </is>
      </c>
      <c r="B22" s="31" t="inlineStr">
        <is>
          <t>Risk-free rate (monthly)</t>
        </is>
      </c>
      <c r="C22" s="32" t="inlineStr">
        <is>
          <t>Rf = 0.375%</t>
        </is>
      </c>
      <c r="F22" s="13">
        <f> 4.5% annual / 12</f>
        <v/>
      </c>
    </row>
    <row r="23">
      <c r="A23" s="21" t="inlineStr">
        <is>
          <t>C5</t>
        </is>
      </c>
      <c r="B23" s="31" t="inlineStr">
        <is>
          <t>Target return (Q2a only)</t>
        </is>
      </c>
      <c r="C23" s="32" t="inlineStr">
        <is>
          <t>Rp = 0.7324%</t>
        </is>
      </c>
      <c r="F23" s="13">
        <f> Mean return of VCR ETF</f>
        <v/>
      </c>
    </row>
    <row r="24" ht="6" customHeight="1"/>
    <row r="25" ht="18" customHeight="1">
      <c r="A25" s="33" t="inlineStr">
        <is>
          <t>VARIANCE-COVARIANCE MATRIX  Σ  (pre-computed — DO NOT MODIFY)</t>
        </is>
      </c>
    </row>
    <row r="26" ht="20" customHeight="1">
      <c r="A26" s="34" t="inlineStr">
        <is>
          <t>This matrix is used automatically by the Portfolio Risk formula in B15. It is pre-computed from your sample data.</t>
        </is>
      </c>
    </row>
    <row r="27" ht="6" customHeight="1"/>
    <row r="29" ht="18" customHeight="1">
      <c r="A29" s="35" t="inlineStr">
        <is>
          <t>Σ</t>
        </is>
      </c>
      <c r="B29" s="36" t="inlineStr">
        <is>
          <t>VGT</t>
        </is>
      </c>
      <c r="C29" s="36" t="inlineStr">
        <is>
          <t>VHT</t>
        </is>
      </c>
      <c r="D29" s="36" t="inlineStr">
        <is>
          <t>VCR</t>
        </is>
      </c>
      <c r="E29" s="36" t="inlineStr">
        <is>
          <t>VOX</t>
        </is>
      </c>
      <c r="F29" s="36" t="inlineStr">
        <is>
          <t>VFH</t>
        </is>
      </c>
    </row>
    <row r="30">
      <c r="A30" s="36" t="inlineStr">
        <is>
          <t>VGT</t>
        </is>
      </c>
      <c r="B30" s="37" t="n">
        <v>45.52443</v>
      </c>
      <c r="C30" s="37" t="n">
        <v>22.494273</v>
      </c>
      <c r="D30" s="37" t="n">
        <v>42.054692</v>
      </c>
      <c r="E30" s="37" t="n">
        <v>29.117954</v>
      </c>
      <c r="F30" s="37" t="n">
        <v>44.037974</v>
      </c>
    </row>
    <row r="31">
      <c r="A31" s="36" t="inlineStr">
        <is>
          <t>VHT</t>
        </is>
      </c>
      <c r="B31" s="37" t="n">
        <v>22.494273</v>
      </c>
      <c r="C31" s="37" t="n">
        <v>21.175657</v>
      </c>
      <c r="D31" s="37" t="n">
        <v>23.821582</v>
      </c>
      <c r="E31" s="37" t="n">
        <v>16.623481</v>
      </c>
      <c r="F31" s="37" t="n">
        <v>28.719733</v>
      </c>
    </row>
    <row r="32">
      <c r="A32" s="36" t="inlineStr">
        <is>
          <t>VCR</t>
        </is>
      </c>
      <c r="B32" s="37" t="n">
        <v>42.054692</v>
      </c>
      <c r="C32" s="37" t="n">
        <v>23.821582</v>
      </c>
      <c r="D32" s="37" t="n">
        <v>49.467417</v>
      </c>
      <c r="E32" s="37" t="n">
        <v>28.96148</v>
      </c>
      <c r="F32" s="37" t="n">
        <v>52.979024</v>
      </c>
    </row>
    <row r="33">
      <c r="A33" s="36" t="inlineStr">
        <is>
          <t>VOX</t>
        </is>
      </c>
      <c r="B33" s="37" t="n">
        <v>29.117954</v>
      </c>
      <c r="C33" s="37" t="n">
        <v>16.623481</v>
      </c>
      <c r="D33" s="37" t="n">
        <v>28.96148</v>
      </c>
      <c r="E33" s="37" t="n">
        <v>28.404119</v>
      </c>
      <c r="F33" s="37" t="n">
        <v>29.746957</v>
      </c>
    </row>
    <row r="34">
      <c r="A34" s="36" t="inlineStr">
        <is>
          <t>VFH</t>
        </is>
      </c>
      <c r="B34" s="37" t="n">
        <v>44.037974</v>
      </c>
      <c r="C34" s="37" t="n">
        <v>28.719733</v>
      </c>
      <c r="D34" s="37" t="n">
        <v>52.979024</v>
      </c>
      <c r="E34" s="37" t="n">
        <v>29.746957</v>
      </c>
      <c r="F34" s="37" t="n">
        <v>72.659323</v>
      </c>
    </row>
    <row r="35" ht="10" customHeight="1"/>
    <row r="36" ht="20" customHeight="1">
      <c r="A36" s="1" t="inlineStr">
        <is>
          <t>STEP-BY-STEP SOLVER INSTRUCTIONS</t>
        </is>
      </c>
    </row>
    <row r="37" ht="18" customHeight="1">
      <c r="A37" s="38" t="inlineStr">
        <is>
          <t>PORTFOLIO A — Target Return  (Q2a)</t>
        </is>
      </c>
    </row>
    <row r="38" ht="15" customHeight="1">
      <c r="A38" s="39" t="inlineStr">
        <is>
          <t>Objective: none (we only need to find weights, any objective works)
Set Objective: B14  →  Min (or leave default)
By Changing Variable Cells: B11:F11
Subject to the Constraints:
  G11 = 1              (budget constraint)
  B11:F11 &gt;= -0.2      (short-sale floor)
  B11:F11 &lt;= 1.2       (long cap)
  B14 = 0.7324   (target return = VCR mean μ)
Select Solving Method: GRG Nonlinear
Click Solve. Record the weights in B11:F11 and the risk in B15.</t>
        </is>
      </c>
    </row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6" customHeight="1"/>
    <row r="48" ht="18" customHeight="1">
      <c r="A48" s="38" t="inlineStr">
        <is>
          <t>PORTFOLIO B — Minimum Variance  (Q2b)</t>
        </is>
      </c>
    </row>
    <row r="49" ht="15" customHeight="1">
      <c r="A49" s="39" t="inlineStr">
        <is>
          <t>Objective: MINIMIZE B15  (portfolio risk σp)
Set Objective: B15  →  Min
By Changing Variable Cells: B11:F11
Subject to the Constraints:
  G11 = 1              (budget constraint)
  B11:F11 &gt;= -0.2      (short-sale floor)
  B11:F11 &lt;= 1.2       (long cap)
Select Solving Method: GRG Nonlinear
Click Solve. Record the weights, return (B14), and risk (B15).</t>
        </is>
      </c>
    </row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6" customHeight="1"/>
    <row r="59" ht="18" customHeight="1">
      <c r="A59" s="40" t="inlineStr">
        <is>
          <t>PORTFOLIO C — Maximum Sharpe Ratio  (Q2c)</t>
        </is>
      </c>
    </row>
    <row r="60" ht="15" customHeight="1">
      <c r="A60" s="39" t="inlineStr">
        <is>
          <t>Objective: MAXIMIZE B16  (Sharpe Ratio)
Set Objective: B16  →  Max
By Changing Variable Cells: B11:F11
Subject to the Constraints:
  G11 = 1              (budget constraint)
  B11:F11 &gt;= -0.2      (short-sale floor)
  B11:F11 &lt;= 1.2       (long cap)
Select Solving Method: GRG Nonlinear
⚠️  IMPORTANT — Use Multistart to avoid local optima:
   → Click Options → GRG Nonlinear tab → check 'Use Multistart'
   → Set Population Size = 100, then click OK
Click Solve. Record the Sharpe Ratio (B16), return (B14), and risk (B15).</t>
        </is>
      </c>
    </row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6" customHeight="1"/>
  </sheetData>
  <mergeCells count="31">
    <mergeCell ref="F20:H20"/>
    <mergeCell ref="A48:H48"/>
    <mergeCell ref="C16:H16"/>
    <mergeCell ref="C20:E20"/>
    <mergeCell ref="A59:H59"/>
    <mergeCell ref="C22:E22"/>
    <mergeCell ref="B20"/>
    <mergeCell ref="A36:H36"/>
    <mergeCell ref="A1:H1"/>
    <mergeCell ref="C21:E21"/>
    <mergeCell ref="F23:H23"/>
    <mergeCell ref="A38:H46"/>
    <mergeCell ref="F22:H22"/>
    <mergeCell ref="A25:H25"/>
    <mergeCell ref="C23:E23"/>
    <mergeCell ref="A49:H57"/>
    <mergeCell ref="A37:H37"/>
    <mergeCell ref="B22"/>
    <mergeCell ref="A18:H18"/>
    <mergeCell ref="A26:H26"/>
    <mergeCell ref="C19:E19"/>
    <mergeCell ref="A60:H68"/>
    <mergeCell ref="B21"/>
    <mergeCell ref="A2:H2"/>
    <mergeCell ref="A8:H8"/>
    <mergeCell ref="B23"/>
    <mergeCell ref="C15:H15"/>
    <mergeCell ref="F19:H19"/>
    <mergeCell ref="C14:H14"/>
    <mergeCell ref="B19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2026-09-29T00:53:15Z</dcterms:created>
  <dcterms:modified xmlns:dcterms="http://purl.org/dc/terms/" xmlns:xsi="http://www.w3.org/2001/XMLSchema-instance" xsi:type="dcterms:W3CDTF">2026-09-29T00:53:15Z</dcterms:modified>
</cp:coreProperties>
</file>